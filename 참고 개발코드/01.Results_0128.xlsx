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d4a39b6944cb6f/문서/05.claude/뇌파분석 eeg/숫자 호흡 잔상/"/>
    </mc:Choice>
  </mc:AlternateContent>
  <xr:revisionPtr revIDLastSave="0" documentId="13_ncr:1_{09D011BF-C682-4101-8516-99E2458CECD5}" xr6:coauthVersionLast="47" xr6:coauthVersionMax="47" xr10:uidLastSave="{00000000-0000-0000-0000-000000000000}"/>
  <bookViews>
    <workbookView xWindow="-96" yWindow="0" windowWidth="11712" windowHeight="12336" xr2:uid="{6A59C36B-1B57-4FE7-81B3-679C54290E12}"/>
  </bookViews>
  <sheets>
    <sheet name="Data" sheetId="1" r:id="rId1"/>
    <sheet name="Results" sheetId="2" r:id="rId2"/>
  </sheets>
  <definedNames>
    <definedName name="_xlnm._FilterDatabase" localSheetId="0" hidden="1">Data!$A$1:$CI$61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AU3" i="1"/>
  <c r="AV3" i="1"/>
  <c r="AW3" i="1"/>
  <c r="AX3" i="1"/>
  <c r="AY3" i="1"/>
  <c r="AT4" i="1"/>
  <c r="AU4" i="1"/>
  <c r="AV4" i="1"/>
  <c r="AW4" i="1"/>
  <c r="AX4" i="1"/>
  <c r="AY4" i="1"/>
  <c r="AT6" i="1"/>
  <c r="AU6" i="1"/>
  <c r="AV6" i="1"/>
  <c r="AW6" i="1"/>
  <c r="AX6" i="1"/>
  <c r="AY6" i="1"/>
  <c r="AT7" i="1"/>
  <c r="AU7" i="1"/>
  <c r="AV7" i="1"/>
  <c r="AW7" i="1"/>
  <c r="AX7" i="1"/>
  <c r="AY7" i="1"/>
  <c r="AT8" i="1"/>
  <c r="AU8" i="1"/>
  <c r="AV8" i="1"/>
  <c r="AW8" i="1"/>
  <c r="AX8" i="1"/>
  <c r="AY8" i="1"/>
  <c r="AT9" i="1"/>
  <c r="AU9" i="1"/>
  <c r="AV9" i="1"/>
  <c r="AW9" i="1"/>
  <c r="AX9" i="1"/>
  <c r="AY9" i="1"/>
  <c r="AT10" i="1"/>
  <c r="AU10" i="1"/>
  <c r="AV10" i="1"/>
  <c r="AW10" i="1"/>
  <c r="AX10" i="1"/>
  <c r="AY10" i="1"/>
  <c r="AT11" i="1"/>
  <c r="AU11" i="1"/>
  <c r="AV11" i="1"/>
  <c r="AW11" i="1"/>
  <c r="AX11" i="1"/>
  <c r="AY11" i="1"/>
  <c r="AT12" i="1"/>
  <c r="AU12" i="1"/>
  <c r="AV12" i="1"/>
  <c r="AW12" i="1"/>
  <c r="AX12" i="1"/>
  <c r="AY12" i="1"/>
  <c r="AT13" i="1"/>
  <c r="AU13" i="1"/>
  <c r="AV13" i="1"/>
  <c r="AW13" i="1"/>
  <c r="AX13" i="1"/>
  <c r="AY13" i="1"/>
  <c r="AT14" i="1"/>
  <c r="AU14" i="1"/>
  <c r="AV14" i="1"/>
  <c r="AW14" i="1"/>
  <c r="AX14" i="1"/>
  <c r="AY14" i="1"/>
  <c r="AT15" i="1"/>
  <c r="AU15" i="1"/>
  <c r="AV15" i="1"/>
  <c r="AW15" i="1"/>
  <c r="AX15" i="1"/>
  <c r="AY15" i="1"/>
  <c r="AT16" i="1"/>
  <c r="AU16" i="1"/>
  <c r="AV16" i="1"/>
  <c r="AW16" i="1"/>
  <c r="AX16" i="1"/>
  <c r="AY16" i="1"/>
  <c r="AT17" i="1"/>
  <c r="AU17" i="1"/>
  <c r="AV17" i="1"/>
  <c r="AW17" i="1"/>
  <c r="AX17" i="1"/>
  <c r="AY17" i="1"/>
  <c r="AT18" i="1"/>
  <c r="AU18" i="1"/>
  <c r="AV18" i="1"/>
  <c r="AW18" i="1"/>
  <c r="AX18" i="1"/>
  <c r="AY18" i="1"/>
  <c r="AT19" i="1"/>
  <c r="AU19" i="1"/>
  <c r="AV19" i="1"/>
  <c r="AW19" i="1"/>
  <c r="AX19" i="1"/>
  <c r="AY19" i="1"/>
  <c r="AT20" i="1"/>
  <c r="AU20" i="1"/>
  <c r="AV20" i="1"/>
  <c r="AW20" i="1"/>
  <c r="AX20" i="1"/>
  <c r="AY20" i="1"/>
  <c r="AT21" i="1"/>
  <c r="AU21" i="1"/>
  <c r="AV21" i="1"/>
  <c r="AW21" i="1"/>
  <c r="AX21" i="1"/>
  <c r="AY21" i="1"/>
  <c r="AT22" i="1"/>
  <c r="AU22" i="1"/>
  <c r="AV22" i="1"/>
  <c r="AW22" i="1"/>
  <c r="AX22" i="1"/>
  <c r="AY22" i="1"/>
  <c r="AT23" i="1"/>
  <c r="AU23" i="1"/>
  <c r="AV23" i="1"/>
  <c r="AW23" i="1"/>
  <c r="AX23" i="1"/>
  <c r="AY23" i="1"/>
  <c r="AT24" i="1"/>
  <c r="AU24" i="1"/>
  <c r="AV24" i="1"/>
  <c r="AW24" i="1"/>
  <c r="AX24" i="1"/>
  <c r="AY24" i="1"/>
  <c r="AT25" i="1"/>
  <c r="AU25" i="1"/>
  <c r="AV25" i="1"/>
  <c r="AW25" i="1"/>
  <c r="AX25" i="1"/>
  <c r="AY25" i="1"/>
  <c r="AT26" i="1"/>
  <c r="AU26" i="1"/>
  <c r="AV26" i="1"/>
  <c r="AW26" i="1"/>
  <c r="AX26" i="1"/>
  <c r="AY26" i="1"/>
  <c r="AT27" i="1"/>
  <c r="AU27" i="1"/>
  <c r="AV27" i="1"/>
  <c r="AW27" i="1"/>
  <c r="AX27" i="1"/>
  <c r="AY27" i="1"/>
  <c r="AT29" i="1"/>
  <c r="AU29" i="1"/>
  <c r="AV29" i="1"/>
  <c r="AW29" i="1"/>
  <c r="AX29" i="1"/>
  <c r="AY29" i="1"/>
  <c r="AT30" i="1"/>
  <c r="AU30" i="1"/>
  <c r="AV30" i="1"/>
  <c r="AW30" i="1"/>
  <c r="AX30" i="1"/>
  <c r="AY30" i="1"/>
  <c r="AT31" i="1"/>
  <c r="AU31" i="1"/>
  <c r="AV31" i="1"/>
  <c r="AW31" i="1"/>
  <c r="AX31" i="1"/>
  <c r="AY31" i="1"/>
  <c r="AT32" i="1"/>
  <c r="AU32" i="1"/>
  <c r="AV32" i="1"/>
  <c r="AW32" i="1"/>
  <c r="AX32" i="1"/>
  <c r="AY32" i="1"/>
  <c r="AT33" i="1"/>
  <c r="AU33" i="1"/>
  <c r="AV33" i="1"/>
  <c r="AW33" i="1"/>
  <c r="AX33" i="1"/>
  <c r="AY33" i="1"/>
  <c r="AT34" i="1"/>
  <c r="AU34" i="1"/>
  <c r="AV34" i="1"/>
  <c r="AW34" i="1"/>
  <c r="AX34" i="1"/>
  <c r="AY34" i="1"/>
  <c r="AT35" i="1"/>
  <c r="AU35" i="1"/>
  <c r="AV35" i="1"/>
  <c r="AW35" i="1"/>
  <c r="AX35" i="1"/>
  <c r="AY35" i="1"/>
  <c r="AT36" i="1"/>
  <c r="AU36" i="1"/>
  <c r="AV36" i="1"/>
  <c r="AW36" i="1"/>
  <c r="AX36" i="1"/>
  <c r="AY36" i="1"/>
  <c r="AT37" i="1"/>
  <c r="AU37" i="1"/>
  <c r="AV37" i="1"/>
  <c r="AW37" i="1"/>
  <c r="AX37" i="1"/>
  <c r="AY37" i="1"/>
  <c r="AT38" i="1"/>
  <c r="AU38" i="1"/>
  <c r="AV38" i="1"/>
  <c r="AW38" i="1"/>
  <c r="AX38" i="1"/>
  <c r="AY38" i="1"/>
  <c r="AT39" i="1"/>
  <c r="AU39" i="1"/>
  <c r="AV39" i="1"/>
  <c r="AW39" i="1"/>
  <c r="AX39" i="1"/>
  <c r="AY39" i="1"/>
  <c r="AT40" i="1"/>
  <c r="AU40" i="1"/>
  <c r="AV40" i="1"/>
  <c r="AW40" i="1"/>
  <c r="AX40" i="1"/>
  <c r="AY40" i="1"/>
  <c r="AT41" i="1"/>
  <c r="AU41" i="1"/>
  <c r="AV41" i="1"/>
  <c r="AW41" i="1"/>
  <c r="AX41" i="1"/>
  <c r="AY41" i="1"/>
  <c r="AT42" i="1"/>
  <c r="AU42" i="1"/>
  <c r="AV42" i="1"/>
  <c r="AW42" i="1"/>
  <c r="AX42" i="1"/>
  <c r="AY42" i="1"/>
  <c r="AT43" i="1"/>
  <c r="AU43" i="1"/>
  <c r="AV43" i="1"/>
  <c r="AW43" i="1"/>
  <c r="AX43" i="1"/>
  <c r="AY43" i="1"/>
  <c r="AT44" i="1"/>
  <c r="AU44" i="1"/>
  <c r="AV44" i="1"/>
  <c r="AW44" i="1"/>
  <c r="AX44" i="1"/>
  <c r="AY44" i="1"/>
  <c r="AT45" i="1"/>
  <c r="AU45" i="1"/>
  <c r="AV45" i="1"/>
  <c r="AW45" i="1"/>
  <c r="AX45" i="1"/>
  <c r="AY45" i="1"/>
  <c r="AT46" i="1"/>
  <c r="AU46" i="1"/>
  <c r="AV46" i="1"/>
  <c r="AW46" i="1"/>
  <c r="AX46" i="1"/>
  <c r="AY46" i="1"/>
  <c r="AT47" i="1"/>
  <c r="AU47" i="1"/>
  <c r="AV47" i="1"/>
  <c r="AW47" i="1"/>
  <c r="AX47" i="1"/>
  <c r="AY47" i="1"/>
  <c r="AT48" i="1"/>
  <c r="AU48" i="1"/>
  <c r="AV48" i="1"/>
  <c r="AW48" i="1"/>
  <c r="AX48" i="1"/>
  <c r="AY48" i="1"/>
  <c r="AT49" i="1"/>
  <c r="AU49" i="1"/>
  <c r="AV49" i="1"/>
  <c r="AW49" i="1"/>
  <c r="AX49" i="1"/>
  <c r="AY49" i="1"/>
  <c r="AT50" i="1"/>
  <c r="AU50" i="1"/>
  <c r="AV50" i="1"/>
  <c r="AW50" i="1"/>
  <c r="AX50" i="1"/>
  <c r="AY50" i="1"/>
  <c r="AT51" i="1"/>
  <c r="AU51" i="1"/>
  <c r="AV51" i="1"/>
  <c r="AW51" i="1"/>
  <c r="AX51" i="1"/>
  <c r="AY51" i="1"/>
  <c r="AT53" i="1"/>
  <c r="AU53" i="1"/>
  <c r="AV53" i="1"/>
  <c r="AW53" i="1"/>
  <c r="AX53" i="1"/>
  <c r="AY53" i="1"/>
  <c r="AT54" i="1"/>
  <c r="AU54" i="1"/>
  <c r="AV54" i="1"/>
  <c r="AW54" i="1"/>
  <c r="AX54" i="1"/>
  <c r="AY54" i="1"/>
  <c r="AT55" i="1"/>
  <c r="AU55" i="1"/>
  <c r="AV55" i="1"/>
  <c r="AW55" i="1"/>
  <c r="AX55" i="1"/>
  <c r="AY55" i="1"/>
  <c r="AT56" i="1"/>
  <c r="AU56" i="1"/>
  <c r="AV56" i="1"/>
  <c r="AW56" i="1"/>
  <c r="AX56" i="1"/>
  <c r="AY56" i="1"/>
  <c r="AT57" i="1"/>
  <c r="AU57" i="1"/>
  <c r="AV57" i="1"/>
  <c r="AW57" i="1"/>
  <c r="AX57" i="1"/>
  <c r="AY57" i="1"/>
  <c r="AT58" i="1"/>
  <c r="AU58" i="1"/>
  <c r="AV58" i="1"/>
  <c r="AW58" i="1"/>
  <c r="AX58" i="1"/>
  <c r="AY58" i="1"/>
  <c r="AT59" i="1"/>
  <c r="AU59" i="1"/>
  <c r="AV59" i="1"/>
  <c r="AW59" i="1"/>
  <c r="AX59" i="1"/>
  <c r="AY59" i="1"/>
  <c r="AT60" i="1"/>
  <c r="AU60" i="1"/>
  <c r="AV60" i="1"/>
  <c r="AW60" i="1"/>
  <c r="AX60" i="1"/>
  <c r="AY60" i="1"/>
  <c r="AT61" i="1"/>
  <c r="AU61" i="1"/>
  <c r="AV61" i="1"/>
  <c r="AW61" i="1"/>
  <c r="AX61" i="1"/>
  <c r="AY61" i="1"/>
  <c r="AU2" i="1"/>
  <c r="AV2" i="1"/>
  <c r="AW2" i="1"/>
  <c r="AX2" i="1"/>
  <c r="AY2" i="1"/>
  <c r="AT2" i="1"/>
  <c r="X30" i="1"/>
  <c r="Y30" i="1"/>
  <c r="Z30" i="1"/>
  <c r="AA30" i="1"/>
  <c r="AB30" i="1"/>
  <c r="AC30" i="1"/>
  <c r="X31" i="1"/>
  <c r="Y31" i="1"/>
  <c r="Z31" i="1"/>
  <c r="AA31" i="1"/>
  <c r="AB31" i="1"/>
  <c r="AC31" i="1"/>
  <c r="X32" i="1"/>
  <c r="Y32" i="1"/>
  <c r="Z32" i="1"/>
  <c r="AA32" i="1"/>
  <c r="AB32" i="1"/>
  <c r="AC32" i="1"/>
  <c r="X33" i="1"/>
  <c r="Y33" i="1"/>
  <c r="Z33" i="1"/>
  <c r="AA33" i="1"/>
  <c r="AB33" i="1"/>
  <c r="AC33" i="1"/>
  <c r="X34" i="1"/>
  <c r="Y34" i="1"/>
  <c r="Z34" i="1"/>
  <c r="AA34" i="1"/>
  <c r="AB34" i="1"/>
  <c r="AC34" i="1"/>
  <c r="X35" i="1"/>
  <c r="Y35" i="1"/>
  <c r="Z35" i="1"/>
  <c r="AA35" i="1"/>
  <c r="AB35" i="1"/>
  <c r="AC35" i="1"/>
  <c r="X36" i="1"/>
  <c r="Y36" i="1"/>
  <c r="Z36" i="1"/>
  <c r="AA36" i="1"/>
  <c r="AB36" i="1"/>
  <c r="AC36" i="1"/>
  <c r="X37" i="1"/>
  <c r="Y37" i="1"/>
  <c r="Z37" i="1"/>
  <c r="AA37" i="1"/>
  <c r="AB37" i="1"/>
  <c r="AC37" i="1"/>
  <c r="X38" i="1"/>
  <c r="Y38" i="1"/>
  <c r="Z38" i="1"/>
  <c r="AA38" i="1"/>
  <c r="AB38" i="1"/>
  <c r="AC38" i="1"/>
  <c r="X39" i="1"/>
  <c r="Y39" i="1"/>
  <c r="Z39" i="1"/>
  <c r="AA39" i="1"/>
  <c r="AB39" i="1"/>
  <c r="AC39" i="1"/>
  <c r="X40" i="1"/>
  <c r="Y40" i="1"/>
  <c r="Z40" i="1"/>
  <c r="AA40" i="1"/>
  <c r="AB40" i="1"/>
  <c r="AC40" i="1"/>
  <c r="X41" i="1"/>
  <c r="Y41" i="1"/>
  <c r="Z41" i="1"/>
  <c r="AA41" i="1"/>
  <c r="AB41" i="1"/>
  <c r="AC41" i="1"/>
  <c r="X42" i="1"/>
  <c r="Y42" i="1"/>
  <c r="Z42" i="1"/>
  <c r="AA42" i="1"/>
  <c r="AB42" i="1"/>
  <c r="AC42" i="1"/>
  <c r="X43" i="1"/>
  <c r="Y43" i="1"/>
  <c r="Z43" i="1"/>
  <c r="AA43" i="1"/>
  <c r="AB43" i="1"/>
  <c r="AC43" i="1"/>
  <c r="X44" i="1"/>
  <c r="Y44" i="1"/>
  <c r="Z44" i="1"/>
  <c r="AA44" i="1"/>
  <c r="AB44" i="1"/>
  <c r="AC44" i="1"/>
  <c r="X45" i="1"/>
  <c r="Y45" i="1"/>
  <c r="Z45" i="1"/>
  <c r="AA45" i="1"/>
  <c r="AB45" i="1"/>
  <c r="AC45" i="1"/>
  <c r="X46" i="1"/>
  <c r="Y46" i="1"/>
  <c r="Z46" i="1"/>
  <c r="AA46" i="1"/>
  <c r="AB46" i="1"/>
  <c r="AC46" i="1"/>
  <c r="X47" i="1"/>
  <c r="Y47" i="1"/>
  <c r="Z47" i="1"/>
  <c r="AA47" i="1"/>
  <c r="AB47" i="1"/>
  <c r="AC47" i="1"/>
  <c r="X48" i="1"/>
  <c r="Y48" i="1"/>
  <c r="Z48" i="1"/>
  <c r="AA48" i="1"/>
  <c r="AB48" i="1"/>
  <c r="AC48" i="1"/>
  <c r="X49" i="1"/>
  <c r="Y49" i="1"/>
  <c r="Z49" i="1"/>
  <c r="AA49" i="1"/>
  <c r="AB49" i="1"/>
  <c r="AC49" i="1"/>
  <c r="X50" i="1"/>
  <c r="Y50" i="1"/>
  <c r="Z50" i="1"/>
  <c r="AA50" i="1"/>
  <c r="AB50" i="1"/>
  <c r="AC50" i="1"/>
  <c r="X51" i="1"/>
  <c r="Y51" i="1"/>
  <c r="Z51" i="1"/>
  <c r="AA51" i="1"/>
  <c r="AB51" i="1"/>
  <c r="AC51" i="1"/>
  <c r="X2" i="1"/>
  <c r="Y2" i="1"/>
  <c r="Z2" i="1"/>
  <c r="AA2" i="1"/>
  <c r="AB2" i="1"/>
  <c r="AC2" i="1"/>
  <c r="X3" i="1"/>
  <c r="Y3" i="1"/>
  <c r="Z3" i="1"/>
  <c r="AA3" i="1"/>
  <c r="AB3" i="1"/>
  <c r="AC3" i="1"/>
  <c r="X4" i="1"/>
  <c r="Y4" i="1"/>
  <c r="Z4" i="1"/>
  <c r="AA4" i="1"/>
  <c r="AB4" i="1"/>
  <c r="AC4" i="1"/>
  <c r="X53" i="1"/>
  <c r="Y53" i="1"/>
  <c r="Z53" i="1"/>
  <c r="AA53" i="1"/>
  <c r="AB53" i="1"/>
  <c r="AC53" i="1"/>
  <c r="X54" i="1"/>
  <c r="Y54" i="1"/>
  <c r="Z54" i="1"/>
  <c r="AA54" i="1"/>
  <c r="AB54" i="1"/>
  <c r="AC54" i="1"/>
  <c r="X55" i="1"/>
  <c r="Y55" i="1"/>
  <c r="Z55" i="1"/>
  <c r="AA55" i="1"/>
  <c r="AB55" i="1"/>
  <c r="AC55" i="1"/>
  <c r="X56" i="1"/>
  <c r="Y56" i="1"/>
  <c r="Z56" i="1"/>
  <c r="AA56" i="1"/>
  <c r="AB56" i="1"/>
  <c r="AC56" i="1"/>
  <c r="X57" i="1"/>
  <c r="Y57" i="1"/>
  <c r="Z57" i="1"/>
  <c r="AA57" i="1"/>
  <c r="AB57" i="1"/>
  <c r="AC57" i="1"/>
  <c r="X58" i="1"/>
  <c r="Y58" i="1"/>
  <c r="Z58" i="1"/>
  <c r="AA58" i="1"/>
  <c r="AB58" i="1"/>
  <c r="AC58" i="1"/>
  <c r="X59" i="1"/>
  <c r="Y59" i="1"/>
  <c r="Z59" i="1"/>
  <c r="AA59" i="1"/>
  <c r="AB59" i="1"/>
  <c r="AC59" i="1"/>
  <c r="X60" i="1"/>
  <c r="Y60" i="1"/>
  <c r="Z60" i="1"/>
  <c r="AA60" i="1"/>
  <c r="AB60" i="1"/>
  <c r="AC60" i="1"/>
  <c r="X61" i="1"/>
  <c r="Y61" i="1"/>
  <c r="Z61" i="1"/>
  <c r="AA61" i="1"/>
  <c r="AB61" i="1"/>
  <c r="AC61" i="1"/>
  <c r="X6" i="1"/>
  <c r="Y6" i="1"/>
  <c r="Z6" i="1"/>
  <c r="AA6" i="1"/>
  <c r="AB6" i="1"/>
  <c r="AC6" i="1"/>
  <c r="X7" i="1"/>
  <c r="Y7" i="1"/>
  <c r="Z7" i="1"/>
  <c r="AA7" i="1"/>
  <c r="AB7" i="1"/>
  <c r="AC7" i="1"/>
  <c r="X8" i="1"/>
  <c r="Y8" i="1"/>
  <c r="Z8" i="1"/>
  <c r="AA8" i="1"/>
  <c r="AB8" i="1"/>
  <c r="AC8" i="1"/>
  <c r="X9" i="1"/>
  <c r="Y9" i="1"/>
  <c r="Z9" i="1"/>
  <c r="AA9" i="1"/>
  <c r="AB9" i="1"/>
  <c r="AC9" i="1"/>
  <c r="X10" i="1"/>
  <c r="Y10" i="1"/>
  <c r="Z10" i="1"/>
  <c r="AA10" i="1"/>
  <c r="AB10" i="1"/>
  <c r="AC10" i="1"/>
  <c r="X11" i="1"/>
  <c r="Y11" i="1"/>
  <c r="Z11" i="1"/>
  <c r="AA11" i="1"/>
  <c r="AB11" i="1"/>
  <c r="AC11" i="1"/>
  <c r="X12" i="1"/>
  <c r="Y12" i="1"/>
  <c r="Z12" i="1"/>
  <c r="AA12" i="1"/>
  <c r="AB12" i="1"/>
  <c r="AC12" i="1"/>
  <c r="X13" i="1"/>
  <c r="Y13" i="1"/>
  <c r="Z13" i="1"/>
  <c r="AA13" i="1"/>
  <c r="AB13" i="1"/>
  <c r="AC13" i="1"/>
  <c r="X14" i="1"/>
  <c r="Y14" i="1"/>
  <c r="Z14" i="1"/>
  <c r="AA14" i="1"/>
  <c r="AB14" i="1"/>
  <c r="AC14" i="1"/>
  <c r="X15" i="1"/>
  <c r="Y15" i="1"/>
  <c r="Z15" i="1"/>
  <c r="AA15" i="1"/>
  <c r="AB15" i="1"/>
  <c r="AC15" i="1"/>
  <c r="X16" i="1"/>
  <c r="Y16" i="1"/>
  <c r="Z16" i="1"/>
  <c r="AA16" i="1"/>
  <c r="AB16" i="1"/>
  <c r="AC16" i="1"/>
  <c r="X17" i="1"/>
  <c r="Y17" i="1"/>
  <c r="Z17" i="1"/>
  <c r="AA17" i="1"/>
  <c r="AB17" i="1"/>
  <c r="AC17" i="1"/>
  <c r="X18" i="1"/>
  <c r="Y18" i="1"/>
  <c r="Z18" i="1"/>
  <c r="AA18" i="1"/>
  <c r="AB18" i="1"/>
  <c r="AC18" i="1"/>
  <c r="X19" i="1"/>
  <c r="Y19" i="1"/>
  <c r="Z19" i="1"/>
  <c r="AA19" i="1"/>
  <c r="AB19" i="1"/>
  <c r="AC19" i="1"/>
  <c r="X20" i="1"/>
  <c r="Y20" i="1"/>
  <c r="Z20" i="1"/>
  <c r="AA20" i="1"/>
  <c r="AB20" i="1"/>
  <c r="AC20" i="1"/>
  <c r="X21" i="1"/>
  <c r="Y21" i="1"/>
  <c r="Z21" i="1"/>
  <c r="AA21" i="1"/>
  <c r="AB21" i="1"/>
  <c r="AC21" i="1"/>
  <c r="X22" i="1"/>
  <c r="Y22" i="1"/>
  <c r="Z22" i="1"/>
  <c r="AA22" i="1"/>
  <c r="AB22" i="1"/>
  <c r="AC22" i="1"/>
  <c r="X23" i="1"/>
  <c r="Y23" i="1"/>
  <c r="Z23" i="1"/>
  <c r="AA23" i="1"/>
  <c r="AB23" i="1"/>
  <c r="AC23" i="1"/>
  <c r="X24" i="1"/>
  <c r="Y24" i="1"/>
  <c r="Z24" i="1"/>
  <c r="AA24" i="1"/>
  <c r="AB24" i="1"/>
  <c r="AC24" i="1"/>
  <c r="X25" i="1"/>
  <c r="Y25" i="1"/>
  <c r="Z25" i="1"/>
  <c r="AA25" i="1"/>
  <c r="AB25" i="1"/>
  <c r="AC25" i="1"/>
  <c r="X26" i="1"/>
  <c r="Y26" i="1"/>
  <c r="Z26" i="1"/>
  <c r="AA26" i="1"/>
  <c r="AB26" i="1"/>
  <c r="AC26" i="1"/>
  <c r="X27" i="1"/>
  <c r="Y27" i="1"/>
  <c r="Z27" i="1"/>
  <c r="AA27" i="1"/>
  <c r="AB27" i="1"/>
  <c r="AC27" i="1"/>
  <c r="Y29" i="1"/>
  <c r="Z29" i="1"/>
  <c r="AA29" i="1"/>
  <c r="AB29" i="1"/>
  <c r="AC29" i="1"/>
  <c r="X29" i="1"/>
</calcChain>
</file>

<file path=xl/sharedStrings.xml><?xml version="1.0" encoding="utf-8"?>
<sst xmlns="http://schemas.openxmlformats.org/spreadsheetml/2006/main" count="195" uniqueCount="155">
  <si>
    <t>'C:\Users\user\Desktop\mentalfit\soso\data\10김은하숫자.txt'</t>
  </si>
  <si>
    <t>'C:\Users\user\Desktop\mentalfit\soso\data\10김은하잔상.txt'</t>
  </si>
  <si>
    <t>'C:\Users\user\Desktop\mentalfit\soso\data\10김은하호흡.txt'</t>
  </si>
  <si>
    <t>'C:\Users\user\Desktop\mentalfit\soso\data\11김성근숫자.txt'</t>
  </si>
  <si>
    <t>'C:\Users\user\Desktop\mentalfit\soso\data\11김성근잔상.txt'</t>
  </si>
  <si>
    <t>'C:\Users\user\Desktop\mentalfit\soso\data\11김성근호흡.txt'</t>
  </si>
  <si>
    <t>'C:\Users\user\Desktop\mentalfit\soso\data\12박세리숫자.txt'</t>
  </si>
  <si>
    <t>'C:\Users\user\Desktop\mentalfit\soso\data\12박세리잔상.txt'</t>
  </si>
  <si>
    <t>'C:\Users\user\Desktop\mentalfit\soso\data\12박세리호흡.txt'</t>
  </si>
  <si>
    <t>'C:\Users\user\Desktop\mentalfit\soso\data\13강민규숫자.txt'</t>
  </si>
  <si>
    <t>'C:\Users\user\Desktop\mentalfit\soso\data\13강민규잔상.txt'</t>
  </si>
  <si>
    <t>'C:\Users\user\Desktop\mentalfit\soso\data\13강민규호흡.txt'</t>
  </si>
  <si>
    <t>'C:\Users\user\Desktop\mentalfit\soso\data\14차승훈숫자.txt'</t>
  </si>
  <si>
    <t>'C:\Users\user\Desktop\mentalfit\soso\data\14차승훈잔상.txt'</t>
  </si>
  <si>
    <t>'C:\Users\user\Desktop\mentalfit\soso\data\14차승훈호흡.txt'</t>
  </si>
  <si>
    <t>'C:\Users\user\Desktop\mentalfit\soso\data\15박지은숫자.txt'</t>
  </si>
  <si>
    <t>'C:\Users\user\Desktop\mentalfit\soso\data\15박지은잔상.txt'</t>
  </si>
  <si>
    <t>'C:\Users\user\Desktop\mentalfit\soso\data\15박지은호흡.txt'</t>
  </si>
  <si>
    <t>'C:\Users\user\Desktop\mentalfit\soso\data\16변미정숫자.txt'</t>
  </si>
  <si>
    <t>'C:\Users\user\Desktop\mentalfit\soso\data\16변미정잔상.txt'</t>
  </si>
  <si>
    <t>'C:\Users\user\Desktop\mentalfit\soso\data\16변미정호흡.txt'</t>
  </si>
  <si>
    <t>'C:\Users\user\Desktop\mentalfit\soso\data\17신지용숫자.txt'</t>
  </si>
  <si>
    <t>'C:\Users\user\Desktop\mentalfit\soso\data\17신지용잔상.txt'</t>
  </si>
  <si>
    <t>'C:\Users\user\Desktop\mentalfit\soso\data\1이선미숫자.txt'</t>
  </si>
  <si>
    <t>'C:\Users\user\Desktop\mentalfit\soso\data\1이선미잔상.txt'</t>
  </si>
  <si>
    <t>'C:\Users\user\Desktop\mentalfit\soso\data\1이선미호흡.txt'</t>
  </si>
  <si>
    <t>'C:\Users\user\Desktop\mentalfit\soso\data\21박주원숫자.txt'</t>
  </si>
  <si>
    <t>'C:\Users\user\Desktop\mentalfit\soso\data\21박주원잔상.txt'</t>
  </si>
  <si>
    <t>'C:\Users\user\Desktop\mentalfit\soso\data\21박주원호흡.txt'</t>
  </si>
  <si>
    <t>'C:\Users\user\Desktop\mentalfit\soso\data\22우인서숫자.txt'</t>
  </si>
  <si>
    <t>'C:\Users\user\Desktop\mentalfit\soso\data\22우인서잔상.txt'</t>
  </si>
  <si>
    <t>'C:\Users\user\Desktop\mentalfit\soso\data\22우인서호흡.txt'</t>
  </si>
  <si>
    <t>'C:\Users\user\Desktop\mentalfit\soso\data\23김준하숫자.txt'</t>
  </si>
  <si>
    <t>'C:\Users\user\Desktop\mentalfit\soso\data\23김준하잔상.txt'</t>
  </si>
  <si>
    <t>'C:\Users\user\Desktop\mentalfit\soso\data\23김준하호흡.txt'</t>
  </si>
  <si>
    <t>'C:\Users\user\Desktop\mentalfit\soso\data\2방지수잔상.txt'</t>
  </si>
  <si>
    <t>'C:\Users\user\Desktop\mentalfit\soso\data\2방지수호흡.txt'</t>
  </si>
  <si>
    <t>'C:\Users\user\Desktop\mentalfit\soso\data\3김경남숫자.txt'</t>
  </si>
  <si>
    <t>'C:\Users\user\Desktop\mentalfit\soso\data\3김경남잔상.txt'</t>
  </si>
  <si>
    <t>'C:\Users\user\Desktop\mentalfit\soso\data\3김경남호흡.txt'</t>
  </si>
  <si>
    <t>'C:\Users\user\Desktop\mentalfit\soso\data\4양성모숫자.txt'</t>
  </si>
  <si>
    <t>'C:\Users\user\Desktop\mentalfit\soso\data\4양성모잔상.txt'</t>
  </si>
  <si>
    <t>'C:\Users\user\Desktop\mentalfit\soso\data\4양성모호흡.txt'</t>
  </si>
  <si>
    <t>'C:\Users\user\Desktop\mentalfit\soso\data\5백수진숫자.txt'</t>
  </si>
  <si>
    <t>'C:\Users\user\Desktop\mentalfit\soso\data\5백수진잔상.txt'</t>
  </si>
  <si>
    <t>'C:\Users\user\Desktop\mentalfit\soso\data\5백수진호흡.txt'</t>
  </si>
  <si>
    <t>'C:\Users\user\Desktop\mentalfit\soso\data\6신동우숫자.txt'</t>
  </si>
  <si>
    <t>'C:\Users\user\Desktop\mentalfit\soso\data\6신동우잔상.txt'</t>
  </si>
  <si>
    <t>'C:\Users\user\Desktop\mentalfit\soso\data\6신동우호흡.txt'</t>
  </si>
  <si>
    <t>'C:\Users\user\Desktop\mentalfit\soso\data\7이찬희숫자.txt'</t>
  </si>
  <si>
    <t>'C:\Users\user\Desktop\mentalfit\soso\data\7이찬희잔상.txt'</t>
  </si>
  <si>
    <t>'C:\Users\user\Desktop\mentalfit\soso\data\7이찬희호흡.txt'</t>
  </si>
  <si>
    <t>'C:\Users\user\Desktop\mentalfit\soso\data\8한진우숫자.txt'</t>
  </si>
  <si>
    <t>'C:\Users\user\Desktop\mentalfit\soso\data\8한진우잔상.txt'</t>
  </si>
  <si>
    <t>'C:\Users\user\Desktop\mentalfit\soso\data\8한진우호흡.txt'</t>
  </si>
  <si>
    <t>'C:\Users\user\Desktop\mentalfit\soso\data\9김태리숫자.txt'</t>
  </si>
  <si>
    <t>'C:\Users\user\Desktop\mentalfit\soso\data\9김태리잔상.txt'</t>
  </si>
  <si>
    <t>Name</t>
    <phoneticPr fontId="1" type="noConversion"/>
  </si>
  <si>
    <t>D(0-4)</t>
    <phoneticPr fontId="1" type="noConversion"/>
  </si>
  <si>
    <t>T(4-8)</t>
    <phoneticPr fontId="1" type="noConversion"/>
  </si>
  <si>
    <t>A(8-12)</t>
    <phoneticPr fontId="1" type="noConversion"/>
  </si>
  <si>
    <t>LB(12-18)</t>
    <phoneticPr fontId="1" type="noConversion"/>
  </si>
  <si>
    <t>HB(18-30)</t>
    <phoneticPr fontId="1" type="noConversion"/>
  </si>
  <si>
    <t>G(30-50)</t>
    <phoneticPr fontId="1" type="noConversion"/>
  </si>
  <si>
    <t>LEFT</t>
    <phoneticPr fontId="1" type="noConversion"/>
  </si>
  <si>
    <t>RIGHT</t>
    <phoneticPr fontId="1" type="noConversion"/>
  </si>
  <si>
    <t>Group</t>
    <phoneticPr fontId="1" type="noConversion"/>
  </si>
  <si>
    <t>D_Asy</t>
    <phoneticPr fontId="1" type="noConversion"/>
  </si>
  <si>
    <t>T_Asy</t>
    <phoneticPr fontId="1" type="noConversion"/>
  </si>
  <si>
    <t>A_Asy</t>
    <phoneticPr fontId="1" type="noConversion"/>
  </si>
  <si>
    <t>LB_Asy</t>
    <phoneticPr fontId="1" type="noConversion"/>
  </si>
  <si>
    <t>HB_Asy</t>
    <phoneticPr fontId="1" type="noConversion"/>
  </si>
  <si>
    <t>G_Asy</t>
    <phoneticPr fontId="1" type="noConversion"/>
  </si>
  <si>
    <t>R_D(0-4)</t>
    <phoneticPr fontId="1" type="noConversion"/>
  </si>
  <si>
    <t>R_T(4-8)</t>
    <phoneticPr fontId="1" type="noConversion"/>
  </si>
  <si>
    <t>R_A(8-12)</t>
    <phoneticPr fontId="1" type="noConversion"/>
  </si>
  <si>
    <t>R_LB(12-18)</t>
    <phoneticPr fontId="1" type="noConversion"/>
  </si>
  <si>
    <t>R_HB(18-30)</t>
    <phoneticPr fontId="1" type="noConversion"/>
  </si>
  <si>
    <t>R_G(30-50)</t>
    <phoneticPr fontId="1" type="noConversion"/>
  </si>
  <si>
    <t>Left high beta</t>
    <phoneticPr fontId="1" type="noConversion"/>
  </si>
  <si>
    <t>Left_Gamma</t>
    <phoneticPr fontId="1" type="noConversion"/>
  </si>
  <si>
    <t>Right_high Beta</t>
    <phoneticPr fontId="1" type="noConversion"/>
  </si>
  <si>
    <t>Absolute</t>
    <phoneticPr fontId="1" type="noConversion"/>
  </si>
  <si>
    <t>Relative</t>
    <phoneticPr fontId="1" type="noConversion"/>
  </si>
  <si>
    <t>sdsd:</t>
  </si>
  <si>
    <t>rmssd:</t>
  </si>
  <si>
    <t>pnn20:</t>
  </si>
  <si>
    <t>pnn50:</t>
  </si>
  <si>
    <t>hr_mad:</t>
  </si>
  <si>
    <t>sd1:</t>
  </si>
  <si>
    <t>sd2:</t>
  </si>
  <si>
    <t>s:</t>
  </si>
  <si>
    <t>sd1/sd2:</t>
  </si>
  <si>
    <t>breathingrate:</t>
  </si>
  <si>
    <t>vlf:</t>
  </si>
  <si>
    <t>lf:</t>
  </si>
  <si>
    <t>hf:</t>
  </si>
  <si>
    <t>lf/hf:</t>
  </si>
  <si>
    <t>p_total:</t>
  </si>
  <si>
    <t>vlf_perc:</t>
  </si>
  <si>
    <t>lf_perc:</t>
  </si>
  <si>
    <t>hf_perc:</t>
  </si>
  <si>
    <t>lf_nu:</t>
  </si>
  <si>
    <t>hf_nu:</t>
  </si>
  <si>
    <t>sdnn:</t>
    <phoneticPr fontId="1" type="noConversion"/>
  </si>
  <si>
    <t>ibi:</t>
    <phoneticPr fontId="1" type="noConversion"/>
  </si>
  <si>
    <t>bpm:</t>
    <phoneticPr fontId="1" type="noConversion"/>
  </si>
  <si>
    <t>신지용호흡</t>
    <phoneticPr fontId="1" type="noConversion"/>
  </si>
  <si>
    <t>2.방지수숫자</t>
    <phoneticPr fontId="1" type="noConversion"/>
  </si>
  <si>
    <t>김태리호흡</t>
    <phoneticPr fontId="1" type="noConversion"/>
  </si>
  <si>
    <t>정상</t>
  </si>
  <si>
    <t>Before</t>
    <phoneticPr fontId="1" type="noConversion"/>
  </si>
  <si>
    <t>After</t>
    <phoneticPr fontId="1" type="noConversion"/>
  </si>
  <si>
    <t>SRI</t>
    <phoneticPr fontId="1" type="noConversion"/>
  </si>
  <si>
    <t>ASRS</t>
    <phoneticPr fontId="1" type="noConversion"/>
  </si>
  <si>
    <t>의심(5)</t>
  </si>
  <si>
    <t>의심(4)</t>
  </si>
  <si>
    <t>No</t>
    <phoneticPr fontId="1" type="noConversion"/>
  </si>
  <si>
    <t>d</t>
    <phoneticPr fontId="1" type="noConversion"/>
  </si>
  <si>
    <t>t</t>
    <phoneticPr fontId="1" type="noConversion"/>
  </si>
  <si>
    <t>a</t>
    <phoneticPr fontId="1" type="noConversion"/>
  </si>
  <si>
    <t>lb</t>
    <phoneticPr fontId="1" type="noConversion"/>
  </si>
  <si>
    <t>hb</t>
    <phoneticPr fontId="1" type="noConversion"/>
  </si>
  <si>
    <t>g</t>
    <phoneticPr fontId="1" type="noConversion"/>
  </si>
  <si>
    <t>dR</t>
    <phoneticPr fontId="1" type="noConversion"/>
  </si>
  <si>
    <t>tR</t>
    <phoneticPr fontId="1" type="noConversion"/>
  </si>
  <si>
    <t>aR</t>
    <phoneticPr fontId="1" type="noConversion"/>
  </si>
  <si>
    <t>lbR</t>
    <phoneticPr fontId="1" type="noConversion"/>
  </si>
  <si>
    <t>hbR</t>
    <phoneticPr fontId="1" type="noConversion"/>
  </si>
  <si>
    <t>gR</t>
    <phoneticPr fontId="1" type="noConversion"/>
  </si>
  <si>
    <t>Davg</t>
  </si>
  <si>
    <t>Davg</t>
    <phoneticPr fontId="1" type="noConversion"/>
  </si>
  <si>
    <t>Tavg</t>
  </si>
  <si>
    <t>Tavg</t>
    <phoneticPr fontId="1" type="noConversion"/>
  </si>
  <si>
    <t>Aavg</t>
  </si>
  <si>
    <t>Aavg</t>
    <phoneticPr fontId="1" type="noConversion"/>
  </si>
  <si>
    <t>Lbavg</t>
  </si>
  <si>
    <t>Lbavg</t>
    <phoneticPr fontId="1" type="noConversion"/>
  </si>
  <si>
    <t>Hbavg</t>
  </si>
  <si>
    <t>Hbavg</t>
    <phoneticPr fontId="1" type="noConversion"/>
  </si>
  <si>
    <t>Gavg</t>
  </si>
  <si>
    <t>Gavg</t>
    <phoneticPr fontId="1" type="noConversion"/>
  </si>
  <si>
    <t>Descriptive Statistics</t>
  </si>
  <si>
    <t>N</t>
  </si>
  <si>
    <t>Minimum</t>
  </si>
  <si>
    <t>Maximum</t>
  </si>
  <si>
    <t>Mean</t>
  </si>
  <si>
    <t>Std. Deviation</t>
  </si>
  <si>
    <t>Valid N (listwise)</t>
  </si>
  <si>
    <t>숫자</t>
    <phoneticPr fontId="1" type="noConversion"/>
  </si>
  <si>
    <t>잔상</t>
    <phoneticPr fontId="1" type="noConversion"/>
  </si>
  <si>
    <t>호흡</t>
    <phoneticPr fontId="1" type="noConversion"/>
  </si>
  <si>
    <t>N</t>
    <phoneticPr fontId="1" type="noConversion"/>
  </si>
  <si>
    <t xml:space="preserve">상대값(주파수비율) </t>
    <phoneticPr fontId="1" type="noConversion"/>
  </si>
  <si>
    <r>
      <rPr>
        <u/>
        <sz val="20"/>
        <color theme="1"/>
        <rFont val="맑은 고딕"/>
        <family val="3"/>
        <charset val="129"/>
        <scheme val="minor"/>
      </rPr>
      <t>상관분석결과</t>
    </r>
    <r>
      <rPr>
        <sz val="20"/>
        <color theme="1"/>
        <rFont val="맑은 고딕"/>
        <family val="3"/>
        <charset val="129"/>
        <scheme val="minor"/>
      </rPr>
      <t xml:space="preserve"> 
사후 스트레스 * SDSD
사후 스트레스 * 왼쪽 절대값 델타, 세타, 로우베타
SRI * 세타비대칭
</t>
    </r>
    <r>
      <rPr>
        <i/>
        <sz val="20"/>
        <color theme="1"/>
        <rFont val="맑은 고딕"/>
        <family val="3"/>
        <charset val="129"/>
        <scheme val="minor"/>
      </rPr>
      <t xml:space="preserve">
숫자조건</t>
    </r>
    <r>
      <rPr>
        <sz val="20"/>
        <color theme="1"/>
        <rFont val="맑은 고딕"/>
        <family val="3"/>
        <charset val="129"/>
        <scheme val="minor"/>
      </rPr>
      <t xml:space="preserve">
SRI * lf/hf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</si>
</sst>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"/>
    <numFmt numFmtId="177" formatCode="####.0000"/>
    <numFmt numFmtId="178" formatCode="####.000000"/>
    <numFmt numFmtId="179" formatCode="####.0000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u/>
      <sz val="16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u/>
      <sz val="20"/>
      <color theme="1"/>
      <name val="맑은 고딕"/>
      <family val="3"/>
      <charset val="129"/>
      <scheme val="minor"/>
    </font>
    <font>
      <i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ck">
        <color indexed="8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1"/>
    <xf numFmtId="0" fontId="5" fillId="0" borderId="2" xfId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4" xfId="1" applyFont="1" applyBorder="1" applyAlignment="1">
      <alignment horizontal="center" wrapText="1"/>
    </xf>
    <xf numFmtId="0" fontId="5" fillId="0" borderId="5" xfId="1" applyFont="1" applyBorder="1" applyAlignment="1">
      <alignment horizontal="left" vertical="top" wrapText="1"/>
    </xf>
    <xf numFmtId="176" fontId="5" fillId="0" borderId="6" xfId="1" applyNumberFormat="1" applyFont="1" applyBorder="1" applyAlignment="1">
      <alignment horizontal="right" vertical="top"/>
    </xf>
    <xf numFmtId="177" fontId="5" fillId="0" borderId="7" xfId="1" applyNumberFormat="1" applyFont="1" applyBorder="1" applyAlignment="1">
      <alignment horizontal="right" vertical="top"/>
    </xf>
    <xf numFmtId="178" fontId="5" fillId="0" borderId="7" xfId="1" applyNumberFormat="1" applyFont="1" applyBorder="1" applyAlignment="1">
      <alignment horizontal="right" vertical="top"/>
    </xf>
    <xf numFmtId="179" fontId="5" fillId="0" borderId="8" xfId="1" applyNumberFormat="1" applyFont="1" applyBorder="1" applyAlignment="1">
      <alignment horizontal="right" vertical="top"/>
    </xf>
    <xf numFmtId="0" fontId="5" fillId="0" borderId="9" xfId="1" applyFont="1" applyBorder="1" applyAlignment="1">
      <alignment horizontal="left" vertical="top" wrapText="1"/>
    </xf>
    <xf numFmtId="176" fontId="5" fillId="0" borderId="10" xfId="1" applyNumberFormat="1" applyFont="1" applyBorder="1" applyAlignment="1">
      <alignment horizontal="right" vertical="top"/>
    </xf>
    <xf numFmtId="177" fontId="5" fillId="0" borderId="11" xfId="1" applyNumberFormat="1" applyFont="1" applyBorder="1" applyAlignment="1">
      <alignment horizontal="right" vertical="top"/>
    </xf>
    <xf numFmtId="178" fontId="5" fillId="0" borderId="11" xfId="1" applyNumberFormat="1" applyFont="1" applyBorder="1" applyAlignment="1">
      <alignment horizontal="right" vertical="top"/>
    </xf>
    <xf numFmtId="179" fontId="5" fillId="0" borderId="12" xfId="1" applyNumberFormat="1" applyFont="1" applyBorder="1" applyAlignment="1">
      <alignment horizontal="right" vertical="top"/>
    </xf>
    <xf numFmtId="0" fontId="5" fillId="0" borderId="13" xfId="1" applyFont="1" applyBorder="1" applyAlignment="1">
      <alignment horizontal="left" vertical="top" wrapText="1"/>
    </xf>
    <xf numFmtId="176" fontId="5" fillId="0" borderId="14" xfId="1" applyNumberFormat="1" applyFont="1" applyBorder="1" applyAlignment="1">
      <alignment horizontal="right" vertical="top"/>
    </xf>
    <xf numFmtId="0" fontId="5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17" xfId="1" applyFont="1" applyBorder="1" applyAlignment="1">
      <alignment horizontal="center" wrapText="1"/>
    </xf>
    <xf numFmtId="179" fontId="5" fillId="0" borderId="18" xfId="1" applyNumberFormat="1" applyFont="1" applyBorder="1" applyAlignment="1">
      <alignment horizontal="right" vertical="top"/>
    </xf>
    <xf numFmtId="179" fontId="5" fillId="0" borderId="19" xfId="1" applyNumberFormat="1" applyFont="1" applyBorder="1" applyAlignment="1">
      <alignment horizontal="right" vertical="top"/>
    </xf>
    <xf numFmtId="0" fontId="5" fillId="0" borderId="20" xfId="1" applyFont="1" applyBorder="1" applyAlignment="1">
      <alignment horizontal="left" vertical="top" wrapText="1"/>
    </xf>
    <xf numFmtId="0" fontId="5" fillId="0" borderId="0" xfId="1" applyFont="1" applyAlignment="1">
      <alignment horizontal="center" wrapText="1"/>
    </xf>
    <xf numFmtId="178" fontId="5" fillId="0" borderId="0" xfId="1" applyNumberFormat="1" applyFont="1" applyAlignment="1">
      <alignment horizontal="right" vertical="top"/>
    </xf>
    <xf numFmtId="176" fontId="5" fillId="0" borderId="0" xfId="1" applyNumberFormat="1" applyFont="1" applyAlignment="1">
      <alignment horizontal="right" vertical="top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left" wrapText="1"/>
    </xf>
  </cellXfs>
  <cellStyles count="2">
    <cellStyle name="표준" xfId="0" builtinId="0"/>
    <cellStyle name="표준_Results" xfId="1" xr:uid="{523D15C4-7E65-453F-A190-C6173BD96E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숫자</a:t>
            </a:r>
            <a:r>
              <a:rPr lang="en-US" altLang="ko-KR"/>
              <a:t>_Descriptive Statistics 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Results!$D$34:$D$35</c:f>
              <c:strCache>
                <c:ptCount val="2"/>
                <c:pt idx="0">
                  <c:v>Descriptive Statistics</c:v>
                </c:pt>
                <c:pt idx="1">
                  <c:v>Mean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6-47B3-9CC7-EB04EBEB74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86-47B3-9CC7-EB04EBEB74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86-47B3-9CC7-EB04EBEB74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86-47B3-9CC7-EB04EBEB74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86-47B3-9CC7-EB04EBEB74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86-47B3-9CC7-EB04EBEB74A3}"/>
              </c:ext>
            </c:extLst>
          </c:dPt>
          <c:cat>
            <c:strRef>
              <c:f>Results!$C$36:$C$41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Results!$D$36:$D$41</c:f>
              <c:numCache>
                <c:formatCode>####.000000</c:formatCode>
                <c:ptCount val="6"/>
                <c:pt idx="0">
                  <c:v>0.8495038073371457</c:v>
                </c:pt>
                <c:pt idx="1">
                  <c:v>5.9175782418824673E-2</c:v>
                </c:pt>
                <c:pt idx="2">
                  <c:v>4.7705418721949715E-2</c:v>
                </c:pt>
                <c:pt idx="3">
                  <c:v>1.9856524158574657E-2</c:v>
                </c:pt>
                <c:pt idx="4">
                  <c:v>2.5940281215581354E-2</c:v>
                </c:pt>
                <c:pt idx="5">
                  <c:v>1.6726443282127579E-2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8-4997-B263-5BF822BEE6D0}"/>
            </c:ext>
          </c:extLst>
        </c:ser>
        <c:ser>
          <c:idx val="1"/>
          <c:order val="1"/>
          <c:tx>
            <c:strRef>
              <c:f>Results!$E$34:$E$35</c:f>
              <c:strCache>
                <c:ptCount val="2"/>
                <c:pt idx="0">
                  <c:v>Descriptive Statistics</c:v>
                </c:pt>
                <c:pt idx="1">
                  <c:v>Minimum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86-47B3-9CC7-EB04EBEB74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86-47B3-9CC7-EB04EBEB74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86-47B3-9CC7-EB04EBEB74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86-47B3-9CC7-EB04EBEB74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86-47B3-9CC7-EB04EBEB74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F86-47B3-9CC7-EB04EBEB74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F86-47B3-9CC7-EB04EBEB74A3}"/>
              </c:ext>
            </c:extLst>
          </c:dPt>
          <c:cat>
            <c:strRef>
              <c:f>Results!$C$36:$C$41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Results!$E$36:$E$42</c:f>
              <c:numCache>
                <c:formatCode>####.0000</c:formatCode>
                <c:ptCount val="7"/>
                <c:pt idx="0">
                  <c:v>0.58015277452498548</c:v>
                </c:pt>
                <c:pt idx="1">
                  <c:v>2.3862795318424501E-2</c:v>
                </c:pt>
                <c:pt idx="2">
                  <c:v>8.2908256892445936E-3</c:v>
                </c:pt>
                <c:pt idx="3">
                  <c:v>4.3173311147923551E-3</c:v>
                </c:pt>
                <c:pt idx="4">
                  <c:v>3.5194784782860348E-3</c:v>
                </c:pt>
                <c:pt idx="5">
                  <c:v>2.4883244946172049E-3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8-4997-B263-5BF822BEE6D0}"/>
            </c:ext>
          </c:extLst>
        </c:ser>
        <c:ser>
          <c:idx val="2"/>
          <c:order val="2"/>
          <c:tx>
            <c:strRef>
              <c:f>Results!$F$34:$F$35</c:f>
              <c:strCache>
                <c:ptCount val="2"/>
                <c:pt idx="0">
                  <c:v>Descriptive Statistics</c:v>
                </c:pt>
                <c:pt idx="1">
                  <c:v>Maximum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86-47B3-9CC7-EB04EBEB74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86-47B3-9CC7-EB04EBEB74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86-47B3-9CC7-EB04EBEB74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86-47B3-9CC7-EB04EBEB74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86-47B3-9CC7-EB04EBEB74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86-47B3-9CC7-EB04EBEB74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86-47B3-9CC7-EB04EBEB74A3}"/>
              </c:ext>
            </c:extLst>
          </c:dPt>
          <c:cat>
            <c:strRef>
              <c:f>Results!$C$36:$C$41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Results!$F$36:$F$42</c:f>
              <c:numCache>
                <c:formatCode>####.0000</c:formatCode>
                <c:ptCount val="7"/>
                <c:pt idx="0">
                  <c:v>0.96176564323918801</c:v>
                </c:pt>
                <c:pt idx="1">
                  <c:v>0.15075343209765651</c:v>
                </c:pt>
                <c:pt idx="2">
                  <c:v>0.15409733379067886</c:v>
                </c:pt>
                <c:pt idx="3">
                  <c:v>6.9560724236494051E-2</c:v>
                </c:pt>
                <c:pt idx="4">
                  <c:v>7.6899112535033148E-2</c:v>
                </c:pt>
                <c:pt idx="5">
                  <c:v>4.6187621372235602E-2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8-4997-B263-5BF822BEE6D0}"/>
            </c:ext>
          </c:extLst>
        </c:ser>
        <c:ser>
          <c:idx val="3"/>
          <c:order val="3"/>
          <c:tx>
            <c:strRef>
              <c:f>Results!$G$34:$G$35</c:f>
              <c:strCache>
                <c:ptCount val="2"/>
                <c:pt idx="0">
                  <c:v>Descriptive Statistics</c:v>
                </c:pt>
                <c:pt idx="1">
                  <c:v>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86-47B3-9CC7-EB04EBEB74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86-47B3-9CC7-EB04EBEB74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86-47B3-9CC7-EB04EBEB74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86-47B3-9CC7-EB04EBEB74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F86-47B3-9CC7-EB04EBEB74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F86-47B3-9CC7-EB04EBEB74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F86-47B3-9CC7-EB04EBEB74A3}"/>
              </c:ext>
            </c:extLst>
          </c:dPt>
          <c:cat>
            <c:strRef>
              <c:f>Results!$C$36:$C$41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Results!$G$36:$G$42</c:f>
              <c:numCache>
                <c:formatCode>###0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38-4997-B263-5BF822BEE6D0}"/>
            </c:ext>
          </c:extLst>
        </c:ser>
        <c:ser>
          <c:idx val="4"/>
          <c:order val="4"/>
          <c:tx>
            <c:strRef>
              <c:f>Results!$H$34:$H$35</c:f>
              <c:strCache>
                <c:ptCount val="2"/>
                <c:pt idx="0">
                  <c:v>Descriptive Statistics</c:v>
                </c:pt>
                <c:pt idx="1">
                  <c:v>Std. Deviation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F86-47B3-9CC7-EB04EBEB74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F86-47B3-9CC7-EB04EBEB74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F86-47B3-9CC7-EB04EBEB74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F86-47B3-9CC7-EB04EBEB74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F86-47B3-9CC7-EB04EBEB74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F86-47B3-9CC7-EB04EBEB74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F86-47B3-9CC7-EB04EBEB74A3}"/>
              </c:ext>
            </c:extLst>
          </c:dPt>
          <c:cat>
            <c:strRef>
              <c:f>Results!$C$36:$C$41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Results!$H$36:$H$42</c:f>
              <c:numCache>
                <c:formatCode>####.0000000</c:formatCode>
                <c:ptCount val="7"/>
                <c:pt idx="0">
                  <c:v>0.11372402082768435</c:v>
                </c:pt>
                <c:pt idx="1">
                  <c:v>4.017650416771866E-2</c:v>
                </c:pt>
                <c:pt idx="2">
                  <c:v>4.2792193129150662E-2</c:v>
                </c:pt>
                <c:pt idx="3">
                  <c:v>2.0385614994012514E-2</c:v>
                </c:pt>
                <c:pt idx="4">
                  <c:v>2.5069106613029069E-2</c:v>
                </c:pt>
                <c:pt idx="5">
                  <c:v>1.5244491160139586E-2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38-4997-B263-5BF822BEE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잔상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Results!$D$50</c:f>
              <c:strCache>
                <c:ptCount val="1"/>
                <c:pt idx="0">
                  <c:v>Mean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D6-4EE3-8321-87B37977E6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D6-4EE3-8321-87B37977E6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D6-4EE3-8321-87B37977E6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D6-4EE3-8321-87B37977E6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D6-4EE3-8321-87B37977E6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D6-4EE3-8321-87B37977E6DB}"/>
              </c:ext>
            </c:extLst>
          </c:dPt>
          <c:cat>
            <c:strRef>
              <c:f>Results!$C$51:$C$56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Results!$D$51:$D$56</c:f>
              <c:numCache>
                <c:formatCode>####.000000</c:formatCode>
                <c:ptCount val="6"/>
                <c:pt idx="0">
                  <c:v>0.87126212599489317</c:v>
                </c:pt>
                <c:pt idx="1">
                  <c:v>4.612225095031653E-2</c:v>
                </c:pt>
                <c:pt idx="2">
                  <c:v>4.0573467343359509E-2</c:v>
                </c:pt>
                <c:pt idx="3">
                  <c:v>1.5994744374800751E-2</c:v>
                </c:pt>
                <c:pt idx="4">
                  <c:v>2.2640953886999285E-2</c:v>
                </c:pt>
                <c:pt idx="5">
                  <c:v>1.9077327190846222E-2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B-4CD6-902E-4B2430A58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호흡</a:t>
            </a:r>
            <a:r>
              <a:rPr lang="en-US" altLang="ko-KR"/>
              <a:t>_Mean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6800721784776904"/>
          <c:y val="0.18560185185185185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Results!$D$63</c:f>
              <c:strCache>
                <c:ptCount val="1"/>
                <c:pt idx="0">
                  <c:v>Mean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C6-430C-A9C6-E19576666A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C6-430C-A9C6-E19576666A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C6-430C-A9C6-E19576666A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C6-430C-A9C6-E19576666A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C6-430C-A9C6-E19576666A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C6-430C-A9C6-E19576666AE3}"/>
              </c:ext>
            </c:extLst>
          </c:dPt>
          <c:cat>
            <c:strRef>
              <c:f>Results!$C$64:$C$69</c:f>
              <c:strCache>
                <c:ptCount val="6"/>
                <c:pt idx="0">
                  <c:v>Davg</c:v>
                </c:pt>
                <c:pt idx="1">
                  <c:v>Tavg</c:v>
                </c:pt>
                <c:pt idx="2">
                  <c:v>Aavg</c:v>
                </c:pt>
                <c:pt idx="3">
                  <c:v>Lbavg</c:v>
                </c:pt>
                <c:pt idx="4">
                  <c:v>Hbavg</c:v>
                </c:pt>
                <c:pt idx="5">
                  <c:v>Gavg</c:v>
                </c:pt>
              </c:strCache>
            </c:strRef>
          </c:cat>
          <c:val>
            <c:numRef>
              <c:f>Results!$D$64:$D$69</c:f>
              <c:numCache>
                <c:formatCode>####.000000</c:formatCode>
                <c:ptCount val="6"/>
                <c:pt idx="0">
                  <c:v>0.88788108364823226</c:v>
                </c:pt>
                <c:pt idx="1">
                  <c:v>4.8171250159571868E-2</c:v>
                </c:pt>
                <c:pt idx="2">
                  <c:v>4.7255647845553833E-2</c:v>
                </c:pt>
                <c:pt idx="3">
                  <c:v>1.037782369026518E-2</c:v>
                </c:pt>
                <c:pt idx="4">
                  <c:v>1.239272191872476E-2</c:v>
                </c:pt>
                <c:pt idx="5">
                  <c:v>8.1739920275219879E-3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7-4EA0-8A79-DBC8A2F86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12</xdr:col>
      <xdr:colOff>47625</xdr:colOff>
      <xdr:row>27</xdr:row>
      <xdr:rowOff>50800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8181891-F81E-2CB7-E8F9-2B8EE7D6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079500"/>
          <a:ext cx="5991225" cy="4800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5</xdr:row>
      <xdr:rowOff>133350</xdr:rowOff>
    </xdr:from>
    <xdr:to>
      <xdr:col>23</xdr:col>
      <xdr:colOff>352425</xdr:colOff>
      <xdr:row>27</xdr:row>
      <xdr:rowOff>184150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27E9A06-9EF5-DAFC-641D-4C2FBE2F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0400" y="1212850"/>
          <a:ext cx="5991225" cy="48006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35</xdr:col>
      <xdr:colOff>47625</xdr:colOff>
      <xdr:row>28</xdr:row>
      <xdr:rowOff>50800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360B0FA-F2AD-C919-9FB4-3AA4E958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70400" y="1295400"/>
          <a:ext cx="5991225" cy="48006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25</xdr:row>
      <xdr:rowOff>63500</xdr:rowOff>
    </xdr:from>
    <xdr:to>
      <xdr:col>6</xdr:col>
      <xdr:colOff>152400</xdr:colOff>
      <xdr:row>26</xdr:row>
      <xdr:rowOff>158750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CFC51F-EED0-F07B-152F-0DBA294C6392}"/>
            </a:ext>
          </a:extLst>
        </xdr:cNvPr>
        <xdr:cNvSpPr txBox="1"/>
      </xdr:nvSpPr>
      <xdr:spPr>
        <a:xfrm>
          <a:off x="3454400" y="5461000"/>
          <a:ext cx="660400" cy="31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숫자</a:t>
          </a:r>
        </a:p>
      </xdr:txBody>
    </xdr:sp>
    <xdr:clientData/>
  </xdr:twoCellAnchor>
  <xdr:twoCellAnchor>
    <xdr:from>
      <xdr:col>7</xdr:col>
      <xdr:colOff>419100</xdr:colOff>
      <xdr:row>25</xdr:row>
      <xdr:rowOff>107950</xdr:rowOff>
    </xdr:from>
    <xdr:to>
      <xdr:col>8</xdr:col>
      <xdr:colOff>298450</xdr:colOff>
      <xdr:row>27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0209D3-D7F1-444F-B137-A9892B68DC46}"/>
            </a:ext>
          </a:extLst>
        </xdr:cNvPr>
        <xdr:cNvSpPr txBox="1"/>
      </xdr:nvSpPr>
      <xdr:spPr>
        <a:xfrm>
          <a:off x="5041900" y="5505450"/>
          <a:ext cx="5397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잔상</a:t>
          </a:r>
          <a:endParaRPr lang="en-US" altLang="ko-KR" sz="1100"/>
        </a:p>
        <a:p>
          <a:endParaRPr lang="ko-KR" altLang="en-US" sz="1100"/>
        </a:p>
      </xdr:txBody>
    </xdr:sp>
    <xdr:clientData/>
  </xdr:twoCellAnchor>
  <xdr:twoCellAnchor>
    <xdr:from>
      <xdr:col>9</xdr:col>
      <xdr:colOff>641350</xdr:colOff>
      <xdr:row>25</xdr:row>
      <xdr:rowOff>76200</xdr:rowOff>
    </xdr:from>
    <xdr:to>
      <xdr:col>10</xdr:col>
      <xdr:colOff>571500</xdr:colOff>
      <xdr:row>26</xdr:row>
      <xdr:rowOff>209550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FCA7F3-2E80-437B-B121-E0CD97F7B724}"/>
            </a:ext>
          </a:extLst>
        </xdr:cNvPr>
        <xdr:cNvSpPr txBox="1"/>
      </xdr:nvSpPr>
      <xdr:spPr>
        <a:xfrm>
          <a:off x="6584950" y="5473700"/>
          <a:ext cx="59055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호흡</a:t>
          </a:r>
          <a:endParaRPr lang="en-US" altLang="ko-KR" sz="1100"/>
        </a:p>
        <a:p>
          <a:endParaRPr lang="ko-KR" altLang="en-US" sz="1100"/>
        </a:p>
      </xdr:txBody>
    </xdr:sp>
    <xdr:clientData/>
  </xdr:twoCellAnchor>
  <xdr:twoCellAnchor>
    <xdr:from>
      <xdr:col>9</xdr:col>
      <xdr:colOff>171823</xdr:colOff>
      <xdr:row>31</xdr:row>
      <xdr:rowOff>215526</xdr:rowOff>
    </xdr:from>
    <xdr:to>
      <xdr:col>21</xdr:col>
      <xdr:colOff>496794</xdr:colOff>
      <xdr:row>43</xdr:row>
      <xdr:rowOff>31376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60F9147-17EC-4F22-B2B3-5A85E3DFB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396875</xdr:colOff>
      <xdr:row>47</xdr:row>
      <xdr:rowOff>50800</xdr:rowOff>
    </xdr:from>
    <xdr:to>
      <xdr:col>22</xdr:col>
      <xdr:colOff>279401</xdr:colOff>
      <xdr:row>57</xdr:row>
      <xdr:rowOff>82550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276205A-143A-DD55-DAF8-38200AE64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415924</xdr:colOff>
      <xdr:row>60</xdr:row>
      <xdr:rowOff>190500</xdr:rowOff>
    </xdr:from>
    <xdr:to>
      <xdr:col>22</xdr:col>
      <xdr:colOff>215899</xdr:colOff>
      <xdr:row>75</xdr:row>
      <xdr:rowOff>171450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4CDDBCB-2287-4022-8C6A-172E758FF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EA8E-6F11-4CDB-AA39-665F4CFF6006}">
  <dimension ref="A1:CE61"/>
  <sheetViews>
    <sheetView tabSelected="1" topLeftCell="AT1" zoomScale="85" zoomScaleNormal="85" workbookViewId="0">
      <selection activeCell="AE1" sqref="AE1:AY1"/>
    </sheetView>
  </sheetViews>
  <sheetFormatPr defaultRowHeight="17.399999999999999" x14ac:dyDescent="0.4"/>
  <cols>
    <col min="2" max="2" width="60.5" bestFit="1" customWidth="1"/>
    <col min="3" max="3" width="13" customWidth="1"/>
    <col min="4" max="7" width="13" style="1" customWidth="1"/>
    <col min="8" max="8" width="13" customWidth="1"/>
    <col min="9" max="9" width="13.09765625" customWidth="1"/>
    <col min="10" max="20" width="8.59765625" customWidth="1"/>
    <col min="21" max="22" width="12.3984375" customWidth="1"/>
    <col min="23" max="59" width="8.59765625" customWidth="1"/>
    <col min="60" max="64" width="11.19921875" style="1" bestFit="1" customWidth="1"/>
    <col min="65" max="66" width="9.3984375" style="1" bestFit="1" customWidth="1"/>
    <col min="67" max="67" width="10.5" style="1" bestFit="1" customWidth="1"/>
    <col min="68" max="69" width="11.19921875" style="1" bestFit="1" customWidth="1"/>
    <col min="70" max="70" width="12.3984375" style="1" bestFit="1" customWidth="1"/>
    <col min="71" max="71" width="10.59765625" style="1" bestFit="1" customWidth="1"/>
    <col min="72" max="72" width="16" style="1" bestFit="1" customWidth="1"/>
    <col min="73" max="75" width="12.59765625" style="1" bestFit="1" customWidth="1"/>
    <col min="76" max="76" width="9.09765625" style="1" bestFit="1" customWidth="1"/>
    <col min="77" max="77" width="12.59765625" style="1" bestFit="1" customWidth="1"/>
    <col min="78" max="78" width="10.59765625" style="1" bestFit="1" customWidth="1"/>
    <col min="79" max="79" width="10.09765625" style="1" bestFit="1" customWidth="1"/>
    <col min="80" max="80" width="10.19921875" style="1" bestFit="1" customWidth="1"/>
    <col min="81" max="82" width="10.09765625" style="1" bestFit="1" customWidth="1"/>
    <col min="83" max="83" width="8.59765625" style="1"/>
  </cols>
  <sheetData>
    <row r="1" spans="1:82" x14ac:dyDescent="0.35">
      <c r="A1" t="s">
        <v>117</v>
      </c>
      <c r="B1" t="s">
        <v>57</v>
      </c>
      <c r="C1" t="s">
        <v>66</v>
      </c>
      <c r="D1" s="2" t="s">
        <v>111</v>
      </c>
      <c r="E1" s="2" t="s">
        <v>112</v>
      </c>
      <c r="F1" s="2" t="s">
        <v>113</v>
      </c>
      <c r="G1" s="2" t="s">
        <v>114</v>
      </c>
      <c r="H1" t="s">
        <v>82</v>
      </c>
      <c r="I1" t="s">
        <v>64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E1" t="s">
        <v>83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T1" t="s">
        <v>131</v>
      </c>
      <c r="AU1" t="s">
        <v>133</v>
      </c>
      <c r="AV1" t="s">
        <v>135</v>
      </c>
      <c r="AW1" t="s">
        <v>137</v>
      </c>
      <c r="AX1" t="s">
        <v>139</v>
      </c>
      <c r="AY1" t="s">
        <v>141</v>
      </c>
      <c r="BH1" s="1" t="s">
        <v>106</v>
      </c>
      <c r="BI1" s="1" t="s">
        <v>105</v>
      </c>
      <c r="BJ1" s="1" t="s">
        <v>104</v>
      </c>
      <c r="BK1" s="1" t="s">
        <v>84</v>
      </c>
      <c r="BL1" s="1" t="s">
        <v>85</v>
      </c>
      <c r="BM1" s="1" t="s">
        <v>86</v>
      </c>
      <c r="BN1" s="1" t="s">
        <v>87</v>
      </c>
      <c r="BO1" s="1" t="s">
        <v>88</v>
      </c>
      <c r="BP1" s="1" t="s">
        <v>89</v>
      </c>
      <c r="BQ1" s="1" t="s">
        <v>90</v>
      </c>
      <c r="BR1" s="1" t="s">
        <v>91</v>
      </c>
      <c r="BS1" s="1" t="s">
        <v>92</v>
      </c>
      <c r="BT1" s="1" t="s">
        <v>93</v>
      </c>
      <c r="BU1" s="1" t="s">
        <v>94</v>
      </c>
      <c r="BV1" s="1" t="s">
        <v>95</v>
      </c>
      <c r="BW1" s="1" t="s">
        <v>96</v>
      </c>
      <c r="BX1" s="1" t="s">
        <v>97</v>
      </c>
      <c r="BY1" s="1" t="s">
        <v>98</v>
      </c>
      <c r="BZ1" s="1" t="s">
        <v>99</v>
      </c>
      <c r="CA1" s="1" t="s">
        <v>100</v>
      </c>
      <c r="CB1" s="1" t="s">
        <v>101</v>
      </c>
      <c r="CC1" s="1" t="s">
        <v>102</v>
      </c>
      <c r="CD1" s="1" t="s">
        <v>103</v>
      </c>
    </row>
    <row r="2" spans="1:82" x14ac:dyDescent="0.35">
      <c r="A2">
        <v>1</v>
      </c>
      <c r="B2" t="s">
        <v>23</v>
      </c>
      <c r="C2">
        <v>1</v>
      </c>
      <c r="D2" s="2">
        <v>5</v>
      </c>
      <c r="E2" s="2">
        <v>6</v>
      </c>
      <c r="F2" s="2">
        <v>30</v>
      </c>
      <c r="G2" s="2" t="s">
        <v>110</v>
      </c>
      <c r="J2">
        <v>476.23831425290302</v>
      </c>
      <c r="K2">
        <v>13.394437777264701</v>
      </c>
      <c r="L2">
        <v>6.2633459698751102</v>
      </c>
      <c r="M2">
        <v>2.8588000876187198</v>
      </c>
      <c r="N2">
        <v>4.2502332470290796</v>
      </c>
      <c r="O2">
        <v>3.7563410704115499</v>
      </c>
      <c r="Q2">
        <v>786.89964374708404</v>
      </c>
      <c r="R2">
        <v>19.681476055557599</v>
      </c>
      <c r="S2">
        <v>7.9025619786663004</v>
      </c>
      <c r="T2">
        <v>3.56350978275275</v>
      </c>
      <c r="U2">
        <v>4.3090470447973797</v>
      </c>
      <c r="V2">
        <v>3.74943006232286</v>
      </c>
      <c r="X2">
        <f t="shared" ref="X2:AC4" si="0">LOG10(Q2)-LOG10(J2)</f>
        <v>0.21809501642354556</v>
      </c>
      <c r="Y2">
        <f t="shared" si="0"/>
        <v>0.16713317708508146</v>
      </c>
      <c r="Z2">
        <f t="shared" si="0"/>
        <v>0.10096150904704915</v>
      </c>
      <c r="AA2">
        <f t="shared" si="0"/>
        <v>9.5694168645165834E-2</v>
      </c>
      <c r="AB2">
        <f t="shared" si="0"/>
        <v>5.968471406758824E-3</v>
      </c>
      <c r="AC2">
        <f t="shared" si="0"/>
        <v>-7.9976153613692258E-4</v>
      </c>
      <c r="AF2">
        <v>0.94808466153495197</v>
      </c>
      <c r="AG2">
        <v>2.6665349314514E-2</v>
      </c>
      <c r="AH2">
        <v>1.24689300843861E-2</v>
      </c>
      <c r="AI2">
        <v>5.6912357371287697E-3</v>
      </c>
      <c r="AJ2">
        <v>8.4612699752550403E-3</v>
      </c>
      <c r="AK2">
        <v>7.4780403965140803E-3</v>
      </c>
      <c r="AM2">
        <v>0.96068145159418905</v>
      </c>
      <c r="AN2">
        <v>2.4028005523721401E-2</v>
      </c>
      <c r="AO2">
        <v>9.6477927945514096E-3</v>
      </c>
      <c r="AP2">
        <v>4.3504883730323702E-3</v>
      </c>
      <c r="AQ2">
        <v>5.26067282261231E-3</v>
      </c>
      <c r="AR2">
        <v>4.5774679700845396E-3</v>
      </c>
      <c r="AT2">
        <f>AVERAGE(AF2,AM2)</f>
        <v>0.95438305656457056</v>
      </c>
      <c r="AU2">
        <f t="shared" ref="AU2:AY2" si="1">AVERAGE(AG2,AN2)</f>
        <v>2.53466774191177E-2</v>
      </c>
      <c r="AV2">
        <f t="shared" si="1"/>
        <v>1.1058361439468756E-2</v>
      </c>
      <c r="AW2">
        <f t="shared" si="1"/>
        <v>5.0208620550805695E-3</v>
      </c>
      <c r="AX2">
        <f t="shared" si="1"/>
        <v>6.8609713989336747E-3</v>
      </c>
      <c r="AY2">
        <f t="shared" si="1"/>
        <v>6.0277541832993095E-3</v>
      </c>
      <c r="BH2" s="1">
        <v>116.82243</v>
      </c>
      <c r="BI2" s="1">
        <v>513.6</v>
      </c>
      <c r="BJ2" s="1">
        <v>164.112482</v>
      </c>
      <c r="BK2" s="1">
        <v>139.049837</v>
      </c>
      <c r="BL2" s="1">
        <v>273.91761000000002</v>
      </c>
      <c r="BM2" s="1">
        <v>0.92857100000000004</v>
      </c>
      <c r="BN2" s="1">
        <v>0.92857100000000004</v>
      </c>
      <c r="BO2" s="1">
        <v>128</v>
      </c>
      <c r="BP2" s="1">
        <v>147.391468</v>
      </c>
      <c r="BQ2" s="1">
        <v>149.21673000000001</v>
      </c>
      <c r="BR2" s="1">
        <v>69093.904836000002</v>
      </c>
      <c r="BS2" s="1">
        <v>0.98776799999999998</v>
      </c>
      <c r="BT2" s="1">
        <v>0.3</v>
      </c>
      <c r="BU2" s="1">
        <v>0</v>
      </c>
      <c r="BV2" s="1">
        <v>537.603566</v>
      </c>
      <c r="BW2" s="1">
        <v>10079.193158</v>
      </c>
      <c r="BX2" s="1">
        <v>5.3338000000000003E-2</v>
      </c>
      <c r="BY2" s="1">
        <v>10616.796724</v>
      </c>
      <c r="BZ2" s="1">
        <v>0</v>
      </c>
      <c r="CA2" s="1">
        <v>5.0637080000000001</v>
      </c>
      <c r="CB2" s="1">
        <v>94.936291999999995</v>
      </c>
      <c r="CC2" s="1">
        <v>5.0637080000000001</v>
      </c>
      <c r="CD2" s="1">
        <v>94.936291999999995</v>
      </c>
    </row>
    <row r="3" spans="1:82" x14ac:dyDescent="0.4">
      <c r="A3">
        <v>1</v>
      </c>
      <c r="B3" t="s">
        <v>24</v>
      </c>
      <c r="C3">
        <v>2</v>
      </c>
      <c r="D3" s="1">
        <v>5</v>
      </c>
      <c r="E3" s="1">
        <v>7</v>
      </c>
      <c r="F3" s="1">
        <v>30</v>
      </c>
      <c r="J3">
        <v>963.14728976405297</v>
      </c>
      <c r="K3">
        <v>10.008438879615699</v>
      </c>
      <c r="L3">
        <v>5.90372597917648</v>
      </c>
      <c r="M3">
        <v>3.5605969010165901</v>
      </c>
      <c r="N3">
        <v>10.477903106855299</v>
      </c>
      <c r="O3">
        <v>8.2519661784326601</v>
      </c>
      <c r="Q3">
        <v>1010.26402801388</v>
      </c>
      <c r="R3">
        <v>10.3453463649938</v>
      </c>
      <c r="S3">
        <v>5.82774362103169</v>
      </c>
      <c r="T3">
        <v>3.3419803778899202</v>
      </c>
      <c r="U3">
        <v>7.1813198023616698</v>
      </c>
      <c r="V3">
        <v>5.9048747860503701</v>
      </c>
      <c r="X3">
        <f t="shared" si="0"/>
        <v>2.0742182652937036E-2</v>
      </c>
      <c r="Y3">
        <f t="shared" si="0"/>
        <v>1.4378694210591458E-2</v>
      </c>
      <c r="Z3">
        <f t="shared" si="0"/>
        <v>-5.6257538774886484E-3</v>
      </c>
      <c r="AA3">
        <f t="shared" si="0"/>
        <v>-2.7518913866973582E-2</v>
      </c>
      <c r="AB3">
        <f t="shared" si="0"/>
        <v>-0.16407011065347765</v>
      </c>
      <c r="AC3">
        <f t="shared" si="0"/>
        <v>-0.14534674654903679</v>
      </c>
      <c r="AF3">
        <v>0.96493538589824202</v>
      </c>
      <c r="AG3">
        <v>1.00270196834659E-2</v>
      </c>
      <c r="AH3">
        <v>5.91468632731104E-3</v>
      </c>
      <c r="AI3">
        <v>3.5672071979273301E-3</v>
      </c>
      <c r="AJ3">
        <v>1.0497355477472801E-2</v>
      </c>
      <c r="AK3">
        <v>8.2672860666573693E-3</v>
      </c>
      <c r="AM3">
        <v>0.97171707243584604</v>
      </c>
      <c r="AN3">
        <v>9.9506162788847597E-3</v>
      </c>
      <c r="AO3">
        <v>5.6053841503874401E-3</v>
      </c>
      <c r="AP3">
        <v>3.21446601966572E-3</v>
      </c>
      <c r="AQ3">
        <v>6.9073141882475897E-3</v>
      </c>
      <c r="AR3">
        <v>5.6795723504888202E-3</v>
      </c>
      <c r="AT3">
        <f t="shared" ref="AT3:AT61" si="2">AVERAGE(AF3,AM3)</f>
        <v>0.96832622916704403</v>
      </c>
      <c r="AU3">
        <f t="shared" ref="AU3:AU61" si="3">AVERAGE(AG3,AN3)</f>
        <v>9.988817981175329E-3</v>
      </c>
      <c r="AV3">
        <f t="shared" ref="AV3:AV61" si="4">AVERAGE(AH3,AO3)</f>
        <v>5.76003523884924E-3</v>
      </c>
      <c r="AW3">
        <f t="shared" ref="AW3:AW61" si="5">AVERAGE(AI3,AP3)</f>
        <v>3.3908366087965248E-3</v>
      </c>
      <c r="AX3">
        <f t="shared" ref="AX3:AX61" si="6">AVERAGE(AJ3,AQ3)</f>
        <v>8.7023348328601948E-3</v>
      </c>
      <c r="AY3">
        <f t="shared" ref="AY3:AY61" si="7">AVERAGE(AK3,AR3)</f>
        <v>6.9734292085730943E-3</v>
      </c>
      <c r="BH3" s="1">
        <v>139.81709499999999</v>
      </c>
      <c r="BI3" s="1">
        <v>429.13207499999999</v>
      </c>
      <c r="BJ3" s="1">
        <v>201.041631</v>
      </c>
      <c r="BK3" s="1">
        <v>164.91968199999999</v>
      </c>
      <c r="BL3" s="1">
        <v>330.64628800000003</v>
      </c>
      <c r="BM3" s="1">
        <v>0.93548399999999998</v>
      </c>
      <c r="BN3" s="1">
        <v>0.87096799999999996</v>
      </c>
      <c r="BO3" s="1">
        <v>188</v>
      </c>
      <c r="BP3" s="1">
        <v>232.81699800000001</v>
      </c>
      <c r="BQ3" s="1">
        <v>177.89721</v>
      </c>
      <c r="BR3" s="1">
        <v>130116.89582000001</v>
      </c>
      <c r="BS3" s="1">
        <v>1.308716</v>
      </c>
      <c r="BT3" s="1">
        <v>0.16666700000000001</v>
      </c>
      <c r="BU3" s="1">
        <v>0</v>
      </c>
      <c r="BV3" s="1">
        <v>1503.235242</v>
      </c>
      <c r="BW3" s="1">
        <v>14540.889160999999</v>
      </c>
      <c r="BX3" s="1">
        <v>0.10338</v>
      </c>
      <c r="BY3" s="1">
        <v>16044.124403</v>
      </c>
      <c r="BZ3" s="1">
        <v>0</v>
      </c>
      <c r="CA3" s="1">
        <v>9.3693819999999999</v>
      </c>
      <c r="CB3" s="1">
        <v>90.630617999999998</v>
      </c>
      <c r="CC3" s="1">
        <v>9.3693819999999999</v>
      </c>
      <c r="CD3" s="1">
        <v>90.630617999999998</v>
      </c>
    </row>
    <row r="4" spans="1:82" x14ac:dyDescent="0.4">
      <c r="A4">
        <v>1</v>
      </c>
      <c r="B4" t="s">
        <v>25</v>
      </c>
      <c r="C4">
        <v>3</v>
      </c>
      <c r="D4" s="1">
        <v>5</v>
      </c>
      <c r="E4" s="1">
        <v>7</v>
      </c>
      <c r="F4" s="1">
        <v>30</v>
      </c>
      <c r="J4">
        <v>174.887485980706</v>
      </c>
      <c r="K4">
        <v>4.2190580178847101</v>
      </c>
      <c r="L4">
        <v>7.5400495915849701</v>
      </c>
      <c r="M4">
        <v>2.1586148229341</v>
      </c>
      <c r="N4">
        <v>3.7451111903408698</v>
      </c>
      <c r="O4">
        <v>2.5029238248361798</v>
      </c>
      <c r="Q4">
        <v>160.53613266858301</v>
      </c>
      <c r="R4">
        <v>4.0175723387509201</v>
      </c>
      <c r="S4">
        <v>6.5127548205002297</v>
      </c>
      <c r="T4">
        <v>1.9153590360841599</v>
      </c>
      <c r="U4">
        <v>3.2491014479689402</v>
      </c>
      <c r="V4">
        <v>2.0150542763500701</v>
      </c>
      <c r="X4">
        <f t="shared" si="0"/>
        <v>-3.7185938215310799E-2</v>
      </c>
      <c r="Y4">
        <f t="shared" si="0"/>
        <v>-2.1251792339760156E-2</v>
      </c>
      <c r="Z4">
        <f t="shared" si="0"/>
        <v>-6.3609473263443017E-2</v>
      </c>
      <c r="AA4">
        <f t="shared" si="0"/>
        <v>-5.1924960082688487E-2</v>
      </c>
      <c r="AB4">
        <f t="shared" si="0"/>
        <v>-6.1701444493294955E-2</v>
      </c>
      <c r="AC4">
        <f t="shared" si="0"/>
        <v>-9.416088374374737E-2</v>
      </c>
      <c r="AF4">
        <v>0.90467389171653401</v>
      </c>
      <c r="AG4">
        <v>2.1824726995267701E-2</v>
      </c>
      <c r="AH4">
        <v>3.9003854218062198E-2</v>
      </c>
      <c r="AI4">
        <v>1.11662790601052E-2</v>
      </c>
      <c r="AJ4">
        <v>1.93730517451123E-2</v>
      </c>
      <c r="AK4">
        <v>1.2947351976541E-2</v>
      </c>
      <c r="AM4">
        <v>0.90872707417256204</v>
      </c>
      <c r="AN4">
        <v>2.27417759228494E-2</v>
      </c>
      <c r="AO4">
        <v>3.6865947462771102E-2</v>
      </c>
      <c r="AP4">
        <v>1.08420365179967E-2</v>
      </c>
      <c r="AQ4">
        <v>1.8391787589638799E-2</v>
      </c>
      <c r="AR4">
        <v>1.1406369061018599E-2</v>
      </c>
      <c r="AT4">
        <f t="shared" si="2"/>
        <v>0.90670048294454797</v>
      </c>
      <c r="AU4">
        <f t="shared" si="3"/>
        <v>2.2283251459058552E-2</v>
      </c>
      <c r="AV4">
        <f t="shared" si="4"/>
        <v>3.7934900840416647E-2</v>
      </c>
      <c r="AW4">
        <f t="shared" si="5"/>
        <v>1.100415778905095E-2</v>
      </c>
      <c r="AX4">
        <f t="shared" si="6"/>
        <v>1.8882419667375548E-2</v>
      </c>
      <c r="AY4">
        <f t="shared" si="7"/>
        <v>1.21768605187798E-2</v>
      </c>
      <c r="BH4" s="1">
        <v>155.12806800000001</v>
      </c>
      <c r="BI4" s="1">
        <v>386.77720199999999</v>
      </c>
      <c r="BJ4" s="1">
        <v>186.16856000000001</v>
      </c>
      <c r="BK4" s="1">
        <v>160.66310300000001</v>
      </c>
      <c r="BL4" s="1">
        <v>296.57376799999997</v>
      </c>
      <c r="BM4" s="1">
        <v>0.95238100000000003</v>
      </c>
      <c r="BN4" s="1">
        <v>0.88095199999999996</v>
      </c>
      <c r="BO4" s="1">
        <v>164</v>
      </c>
      <c r="BP4" s="1">
        <v>209.697901</v>
      </c>
      <c r="BQ4" s="1">
        <v>164.76791600000001</v>
      </c>
      <c r="BR4" s="1">
        <v>108546.694789</v>
      </c>
      <c r="BS4" s="1">
        <v>1.272686</v>
      </c>
      <c r="BT4" s="1">
        <v>0.2</v>
      </c>
      <c r="BU4" s="1">
        <v>57.308664999999998</v>
      </c>
      <c r="BV4" s="1">
        <v>2936.7572829999999</v>
      </c>
      <c r="BW4" s="1">
        <v>9637.3754900000004</v>
      </c>
      <c r="BX4" s="1">
        <v>0.304726</v>
      </c>
      <c r="BY4" s="1">
        <v>12631.441438</v>
      </c>
      <c r="BZ4" s="1">
        <v>0.45369900000000002</v>
      </c>
      <c r="CA4" s="1">
        <v>23.249582</v>
      </c>
      <c r="CB4" s="1">
        <v>76.296719999999993</v>
      </c>
      <c r="CC4" s="1">
        <v>23.355544999999999</v>
      </c>
      <c r="CD4" s="1">
        <v>76.644454999999994</v>
      </c>
    </row>
    <row r="5" spans="1:82" x14ac:dyDescent="0.4">
      <c r="A5">
        <v>2</v>
      </c>
      <c r="B5" t="s">
        <v>108</v>
      </c>
      <c r="C5">
        <v>1</v>
      </c>
      <c r="D5" s="1">
        <v>6</v>
      </c>
      <c r="E5" s="1">
        <v>9</v>
      </c>
      <c r="F5" s="1">
        <v>13</v>
      </c>
      <c r="G5" s="1" t="s">
        <v>110</v>
      </c>
      <c r="BH5" s="1">
        <v>225.301613</v>
      </c>
      <c r="BI5" s="1">
        <v>266.30967700000002</v>
      </c>
      <c r="BJ5" s="1">
        <v>171.98314099999999</v>
      </c>
      <c r="BK5" s="1">
        <v>152.736536</v>
      </c>
      <c r="BL5" s="1">
        <v>260.12051700000001</v>
      </c>
      <c r="BM5" s="1">
        <v>0.87974699999999995</v>
      </c>
      <c r="BN5" s="1">
        <v>0.82911400000000002</v>
      </c>
      <c r="BO5" s="1">
        <v>148</v>
      </c>
      <c r="BP5" s="1">
        <v>183.894926</v>
      </c>
      <c r="BQ5" s="1">
        <v>157.197746</v>
      </c>
      <c r="BR5" s="1">
        <v>90816.744955000002</v>
      </c>
      <c r="BS5" s="1">
        <v>1.169832</v>
      </c>
      <c r="BT5" s="1">
        <v>0.26666699999999999</v>
      </c>
      <c r="BU5" s="1">
        <v>1590.390026</v>
      </c>
      <c r="BV5" s="1">
        <v>3439.8058470000001</v>
      </c>
      <c r="BW5" s="1">
        <v>9556.8151300000009</v>
      </c>
      <c r="BX5" s="1">
        <v>0.35993199999999997</v>
      </c>
      <c r="BY5" s="1">
        <v>14587.011003</v>
      </c>
      <c r="BZ5" s="1">
        <v>10.902782</v>
      </c>
      <c r="CA5" s="1">
        <v>23.581292999999999</v>
      </c>
      <c r="CB5" s="1">
        <v>65.515924999999996</v>
      </c>
      <c r="CC5" s="1">
        <v>26.466923999999999</v>
      </c>
      <c r="CD5" s="1">
        <v>73.533075999999994</v>
      </c>
    </row>
    <row r="6" spans="1:82" x14ac:dyDescent="0.4">
      <c r="A6">
        <v>2</v>
      </c>
      <c r="B6" t="s">
        <v>35</v>
      </c>
      <c r="C6">
        <v>2</v>
      </c>
      <c r="D6" s="1">
        <v>5</v>
      </c>
      <c r="E6" s="1">
        <v>4</v>
      </c>
      <c r="F6" s="1">
        <v>13</v>
      </c>
      <c r="J6">
        <v>290.641209685337</v>
      </c>
      <c r="K6">
        <v>13.506129770139999</v>
      </c>
      <c r="L6">
        <v>5.2355423644636696</v>
      </c>
      <c r="M6">
        <v>4.0981366524947704</v>
      </c>
      <c r="N6">
        <v>6.0819450605488203</v>
      </c>
      <c r="O6">
        <v>5.1064441026191796</v>
      </c>
      <c r="Q6">
        <v>185.27046616946501</v>
      </c>
      <c r="R6">
        <v>7.0558738370511804</v>
      </c>
      <c r="S6">
        <v>2.8855005770232398</v>
      </c>
      <c r="T6">
        <v>1.9823819855687399</v>
      </c>
      <c r="U6">
        <v>4.9037057240777502</v>
      </c>
      <c r="V6">
        <v>4.8650709201386402</v>
      </c>
      <c r="X6">
        <f t="shared" ref="X6:X27" si="8">LOG10(Q6)-LOG10(J6)</f>
        <v>-0.19555099817859967</v>
      </c>
      <c r="Y6">
        <f t="shared" ref="Y6:Y27" si="9">LOG10(R6)-LOG10(K6)</f>
        <v>-0.28198011144365398</v>
      </c>
      <c r="Z6">
        <f t="shared" ref="Z6:Z27" si="10">LOG10(S6)-LOG10(L6)</f>
        <v>-0.25874051263228187</v>
      </c>
      <c r="AA6">
        <f t="shared" ref="AA6:AA27" si="11">LOG10(T6)-LOG10(M6)</f>
        <v>-0.31539909336900546</v>
      </c>
      <c r="AB6">
        <f t="shared" ref="AB6:AB27" si="12">LOG10(U6)-LOG10(N6)</f>
        <v>-9.3518092876883618E-2</v>
      </c>
      <c r="AC6">
        <f t="shared" ref="AC6:AC27" si="13">LOG10(V6)-LOG10(O6)</f>
        <v>-2.1029406751828073E-2</v>
      </c>
      <c r="AF6">
        <v>0.90615953992075804</v>
      </c>
      <c r="AG6">
        <v>4.2109335946785897E-2</v>
      </c>
      <c r="AH6">
        <v>1.6323344736124599E-2</v>
      </c>
      <c r="AI6">
        <v>1.2777147561343899E-2</v>
      </c>
      <c r="AJ6">
        <v>1.8962254333640301E-2</v>
      </c>
      <c r="AK6">
        <v>1.5920842896539601E-2</v>
      </c>
      <c r="AM6">
        <v>0.90435407271336099</v>
      </c>
      <c r="AN6">
        <v>3.4441583556292503E-2</v>
      </c>
      <c r="AO6">
        <v>1.4084890336816199E-2</v>
      </c>
      <c r="AP6">
        <v>9.6765299909315101E-3</v>
      </c>
      <c r="AQ6">
        <v>2.3936282639355901E-2</v>
      </c>
      <c r="AR6">
        <v>2.3747695958417501E-2</v>
      </c>
      <c r="AT6">
        <f t="shared" si="2"/>
        <v>0.90525680631705951</v>
      </c>
      <c r="AU6">
        <f t="shared" si="3"/>
        <v>3.8275459751539204E-2</v>
      </c>
      <c r="AV6">
        <f t="shared" si="4"/>
        <v>1.5204117536470399E-2</v>
      </c>
      <c r="AW6">
        <f t="shared" si="5"/>
        <v>1.1226838776137706E-2</v>
      </c>
      <c r="AX6">
        <f t="shared" si="6"/>
        <v>2.1449268486498099E-2</v>
      </c>
      <c r="AY6">
        <f t="shared" si="7"/>
        <v>1.9834269427478551E-2</v>
      </c>
      <c r="BH6" s="1">
        <v>201.62258199999999</v>
      </c>
      <c r="BI6" s="1">
        <v>297.585714</v>
      </c>
      <c r="BJ6" s="1">
        <v>164.16107</v>
      </c>
      <c r="BK6" s="1">
        <v>139.736188</v>
      </c>
      <c r="BL6" s="1">
        <v>236.86398299999999</v>
      </c>
      <c r="BM6" s="1">
        <v>0.93788800000000005</v>
      </c>
      <c r="BN6" s="1">
        <v>0.81987600000000005</v>
      </c>
      <c r="BO6" s="1">
        <v>126</v>
      </c>
      <c r="BP6" s="1">
        <v>167.4615</v>
      </c>
      <c r="BQ6" s="1">
        <v>164.53644199999999</v>
      </c>
      <c r="BR6" s="1">
        <v>86561.933894000002</v>
      </c>
      <c r="BS6" s="1">
        <v>1.0177780000000001</v>
      </c>
      <c r="BT6" s="1">
        <v>0.3</v>
      </c>
      <c r="BU6" s="1">
        <v>380.80044199999998</v>
      </c>
      <c r="BV6" s="1">
        <v>930.65783799999997</v>
      </c>
      <c r="BW6" s="1">
        <v>4005.7719630000001</v>
      </c>
      <c r="BX6" s="1">
        <v>0.23232900000000001</v>
      </c>
      <c r="BY6" s="1">
        <v>5317.2302440000003</v>
      </c>
      <c r="BZ6" s="1">
        <v>7.161632</v>
      </c>
      <c r="CA6" s="1">
        <v>17.502680999999999</v>
      </c>
      <c r="CB6" s="1">
        <v>75.335688000000005</v>
      </c>
      <c r="CC6" s="1">
        <v>18.852853</v>
      </c>
      <c r="CD6" s="1">
        <v>81.147147000000004</v>
      </c>
    </row>
    <row r="7" spans="1:82" x14ac:dyDescent="0.4">
      <c r="A7">
        <v>2</v>
      </c>
      <c r="B7" t="s">
        <v>36</v>
      </c>
      <c r="C7">
        <v>3</v>
      </c>
      <c r="D7" s="1">
        <v>5</v>
      </c>
      <c r="E7" s="1">
        <v>8</v>
      </c>
      <c r="F7" s="1">
        <v>13</v>
      </c>
      <c r="J7">
        <v>355.95570433911797</v>
      </c>
      <c r="K7">
        <v>11.2960990249244</v>
      </c>
      <c r="L7">
        <v>5.40845891957464</v>
      </c>
      <c r="M7">
        <v>2.0442450159331602</v>
      </c>
      <c r="N7">
        <v>2.0498712778714001</v>
      </c>
      <c r="O7">
        <v>2.1011482784574902</v>
      </c>
      <c r="Q7">
        <v>167.73991376881901</v>
      </c>
      <c r="R7">
        <v>9.2048119930220604</v>
      </c>
      <c r="S7">
        <v>4.0853574475699599</v>
      </c>
      <c r="T7">
        <v>1.7500221581020801</v>
      </c>
      <c r="U7">
        <v>2.7151385838872799</v>
      </c>
      <c r="V7">
        <v>2.6043779384129699</v>
      </c>
      <c r="X7">
        <f t="shared" si="8"/>
        <v>-0.32675954165877341</v>
      </c>
      <c r="Y7">
        <f t="shared" si="9"/>
        <v>-8.8913568350005301E-2</v>
      </c>
      <c r="Z7">
        <f t="shared" si="10"/>
        <v>-0.12184347429060705</v>
      </c>
      <c r="AA7">
        <f t="shared" si="11"/>
        <v>-6.7489399984070442E-2</v>
      </c>
      <c r="AB7">
        <f t="shared" si="12"/>
        <v>0.12206541110286395</v>
      </c>
      <c r="AC7">
        <f t="shared" si="13"/>
        <v>9.3247306061759239E-2</v>
      </c>
      <c r="AF7">
        <v>0.94713723052075605</v>
      </c>
      <c r="AG7">
        <v>3.0056986910827199E-2</v>
      </c>
      <c r="AH7">
        <v>1.43909838781259E-2</v>
      </c>
      <c r="AI7">
        <v>5.4393862474871203E-3</v>
      </c>
      <c r="AJ7">
        <v>5.4543567679350702E-3</v>
      </c>
      <c r="AK7">
        <v>5.5907960937626802E-3</v>
      </c>
      <c r="AM7">
        <v>0.901358320037705</v>
      </c>
      <c r="AN7">
        <v>4.9462490398844899E-2</v>
      </c>
      <c r="AO7">
        <v>2.1952860490737199E-2</v>
      </c>
      <c r="AP7">
        <v>9.4038264180201798E-3</v>
      </c>
      <c r="AQ7">
        <v>1.45899249478279E-2</v>
      </c>
      <c r="AR7">
        <v>1.3994747407265799E-2</v>
      </c>
      <c r="AT7">
        <f t="shared" si="2"/>
        <v>0.92424777527923052</v>
      </c>
      <c r="AU7">
        <f t="shared" si="3"/>
        <v>3.9759738654836049E-2</v>
      </c>
      <c r="AV7">
        <f t="shared" si="4"/>
        <v>1.817192218443155E-2</v>
      </c>
      <c r="AW7">
        <f t="shared" si="5"/>
        <v>7.42160633275365E-3</v>
      </c>
      <c r="AX7">
        <f t="shared" si="6"/>
        <v>1.0022140857881485E-2</v>
      </c>
      <c r="AY7">
        <f t="shared" si="7"/>
        <v>9.7927717505142398E-3</v>
      </c>
      <c r="BH7" s="1">
        <v>191.78837100000001</v>
      </c>
      <c r="BI7" s="1">
        <v>312.84482800000001</v>
      </c>
      <c r="BJ7" s="1">
        <v>153.764408</v>
      </c>
      <c r="BK7" s="1">
        <v>134.877985</v>
      </c>
      <c r="BL7" s="1">
        <v>239.751327</v>
      </c>
      <c r="BM7" s="1">
        <v>0.93203899999999995</v>
      </c>
      <c r="BN7" s="1">
        <v>0.84465999999999997</v>
      </c>
      <c r="BO7" s="1">
        <v>114</v>
      </c>
      <c r="BP7" s="1">
        <v>169.416157</v>
      </c>
      <c r="BQ7" s="1">
        <v>128.037451</v>
      </c>
      <c r="BR7" s="1">
        <v>68146.211739999999</v>
      </c>
      <c r="BS7" s="1">
        <v>1.323177</v>
      </c>
      <c r="BT7" s="1">
        <v>0.13333300000000001</v>
      </c>
      <c r="BU7" s="1">
        <v>185.08436699999999</v>
      </c>
      <c r="BV7" s="1">
        <v>1002.964075</v>
      </c>
      <c r="BW7" s="1">
        <v>2980.1785319999999</v>
      </c>
      <c r="BX7" s="1">
        <v>0.33654499999999998</v>
      </c>
      <c r="BY7" s="1">
        <v>4168.2269729999998</v>
      </c>
      <c r="BZ7" s="1">
        <v>4.4403620000000004</v>
      </c>
      <c r="CA7" s="1">
        <v>24.062127</v>
      </c>
      <c r="CB7" s="1">
        <v>71.497511000000003</v>
      </c>
      <c r="CC7" s="1">
        <v>25.180219999999998</v>
      </c>
      <c r="CD7" s="1">
        <v>74.819779999999994</v>
      </c>
    </row>
    <row r="8" spans="1:82" x14ac:dyDescent="0.4">
      <c r="A8">
        <v>3</v>
      </c>
      <c r="B8" t="s">
        <v>37</v>
      </c>
      <c r="C8">
        <v>1</v>
      </c>
      <c r="D8" s="1">
        <v>6</v>
      </c>
      <c r="E8" s="1">
        <v>5</v>
      </c>
      <c r="F8" s="1">
        <v>3</v>
      </c>
      <c r="G8" s="1" t="s">
        <v>110</v>
      </c>
      <c r="J8">
        <v>138.89146327909799</v>
      </c>
      <c r="K8">
        <v>36.771486234164698</v>
      </c>
      <c r="L8">
        <v>35.098351218491302</v>
      </c>
      <c r="M8">
        <v>15.243415141695101</v>
      </c>
      <c r="N8">
        <v>16.497066707332401</v>
      </c>
      <c r="O8">
        <v>9.0376520850653996</v>
      </c>
      <c r="Q8">
        <v>218.32524761738301</v>
      </c>
      <c r="R8">
        <v>55.6529778451306</v>
      </c>
      <c r="S8">
        <v>46.885004890517699</v>
      </c>
      <c r="T8">
        <v>26.4856349761885</v>
      </c>
      <c r="U8">
        <v>28.3823190763977</v>
      </c>
      <c r="V8">
        <v>19.2059148016167</v>
      </c>
      <c r="X8">
        <f t="shared" si="8"/>
        <v>0.19642840798638828</v>
      </c>
      <c r="Y8">
        <f t="shared" si="9"/>
        <v>0.17997722366509628</v>
      </c>
      <c r="Z8">
        <f t="shared" si="10"/>
        <v>0.12574725013420585</v>
      </c>
      <c r="AA8">
        <f t="shared" si="11"/>
        <v>0.23992811189041263</v>
      </c>
      <c r="AB8">
        <f t="shared" si="12"/>
        <v>0.23564114760421706</v>
      </c>
      <c r="AC8">
        <f t="shared" si="13"/>
        <v>0.32737937933486783</v>
      </c>
      <c r="AF8">
        <v>0.582756072082528</v>
      </c>
      <c r="AG8">
        <v>0.15428454979553399</v>
      </c>
      <c r="AH8">
        <v>0.14726446687050801</v>
      </c>
      <c r="AI8">
        <v>6.3957802181456802E-2</v>
      </c>
      <c r="AJ8">
        <v>6.9217830731107793E-2</v>
      </c>
      <c r="AK8">
        <v>3.7919872867620698E-2</v>
      </c>
      <c r="AM8">
        <v>0.57754947696744297</v>
      </c>
      <c r="AN8">
        <v>0.14722231439977901</v>
      </c>
      <c r="AO8">
        <v>0.12402784537127701</v>
      </c>
      <c r="AP8">
        <v>7.0064112119804095E-2</v>
      </c>
      <c r="AQ8">
        <v>7.5081529582982906E-2</v>
      </c>
      <c r="AR8">
        <v>5.0806611555043103E-2</v>
      </c>
      <c r="AT8">
        <f t="shared" si="2"/>
        <v>0.58015277452498548</v>
      </c>
      <c r="AU8">
        <f t="shared" si="3"/>
        <v>0.15075343209765651</v>
      </c>
      <c r="AV8">
        <f t="shared" si="4"/>
        <v>0.13564615612089251</v>
      </c>
      <c r="AW8">
        <f t="shared" si="5"/>
        <v>6.7010957150630449E-2</v>
      </c>
      <c r="AX8">
        <f t="shared" si="6"/>
        <v>7.2149680157045343E-2</v>
      </c>
      <c r="AY8">
        <f t="shared" si="7"/>
        <v>4.4363242211331901E-2</v>
      </c>
      <c r="BH8" s="1">
        <v>193.976877</v>
      </c>
      <c r="BI8" s="1">
        <v>309.31521700000002</v>
      </c>
      <c r="BJ8" s="1">
        <v>177.93785099999999</v>
      </c>
      <c r="BK8" s="1">
        <v>156.53262000000001</v>
      </c>
      <c r="BL8" s="1">
        <v>268.36357500000003</v>
      </c>
      <c r="BM8" s="1">
        <v>0.92735000000000001</v>
      </c>
      <c r="BN8" s="1">
        <v>0.84615399999999996</v>
      </c>
      <c r="BO8" s="1">
        <v>148</v>
      </c>
      <c r="BP8" s="1">
        <v>189.47809599999999</v>
      </c>
      <c r="BQ8" s="1">
        <v>158.84581900000001</v>
      </c>
      <c r="BR8" s="1">
        <v>94555.037567000007</v>
      </c>
      <c r="BS8" s="1">
        <v>1.1928430000000001</v>
      </c>
      <c r="BT8" s="1">
        <v>0.2</v>
      </c>
      <c r="BU8" s="1">
        <v>320.95988299999999</v>
      </c>
      <c r="BV8" s="1">
        <v>2819.71542</v>
      </c>
      <c r="BW8" s="1">
        <v>10388.576617999999</v>
      </c>
      <c r="BX8" s="1">
        <v>0.27142500000000003</v>
      </c>
      <c r="BY8" s="1">
        <v>13529.251920999999</v>
      </c>
      <c r="BZ8" s="1">
        <v>2.3723399999999999</v>
      </c>
      <c r="CA8" s="1">
        <v>20.841621</v>
      </c>
      <c r="CB8" s="1">
        <v>76.786039000000002</v>
      </c>
      <c r="CC8" s="1">
        <v>21.34807</v>
      </c>
      <c r="CD8" s="1">
        <v>78.651929999999993</v>
      </c>
    </row>
    <row r="9" spans="1:82" x14ac:dyDescent="0.4">
      <c r="A9">
        <v>3</v>
      </c>
      <c r="B9" t="s">
        <v>38</v>
      </c>
      <c r="C9">
        <v>2</v>
      </c>
      <c r="D9" s="1">
        <v>6</v>
      </c>
      <c r="E9" s="1">
        <v>6</v>
      </c>
      <c r="F9" s="1">
        <v>3</v>
      </c>
      <c r="J9">
        <v>134.52616182786099</v>
      </c>
      <c r="K9">
        <v>30.464712210637099</v>
      </c>
      <c r="L9">
        <v>26.052525767604902</v>
      </c>
      <c r="M9">
        <v>16.478742237279501</v>
      </c>
      <c r="N9">
        <v>18.7784596917712</v>
      </c>
      <c r="O9">
        <v>12.5612823842447</v>
      </c>
      <c r="Q9">
        <v>243.69291492885901</v>
      </c>
      <c r="R9">
        <v>29.292648111620998</v>
      </c>
      <c r="S9">
        <v>22.951749693127802</v>
      </c>
      <c r="T9">
        <v>14.0478158874045</v>
      </c>
      <c r="U9">
        <v>16.174174827728301</v>
      </c>
      <c r="V9">
        <v>11.9649967582173</v>
      </c>
      <c r="X9">
        <f t="shared" si="8"/>
        <v>0.25803615129615531</v>
      </c>
      <c r="Y9">
        <f t="shared" si="9"/>
        <v>-1.7038445342274944E-2</v>
      </c>
      <c r="Z9">
        <f t="shared" si="10"/>
        <v>-5.5034035172747187E-2</v>
      </c>
      <c r="AA9">
        <f t="shared" si="11"/>
        <v>-6.9315253824503653E-2</v>
      </c>
      <c r="AB9">
        <f t="shared" si="12"/>
        <v>-6.4837833150994006E-2</v>
      </c>
      <c r="AC9">
        <f t="shared" si="13"/>
        <v>-2.1121393607138605E-2</v>
      </c>
      <c r="AF9">
        <v>0.59501232208404498</v>
      </c>
      <c r="AG9">
        <v>0.134746126015759</v>
      </c>
      <c r="AH9">
        <v>0.115230923431628</v>
      </c>
      <c r="AI9">
        <v>7.28858576681507E-2</v>
      </c>
      <c r="AJ9">
        <v>8.3057561105919595E-2</v>
      </c>
      <c r="AK9">
        <v>5.5558842222575899E-2</v>
      </c>
      <c r="AM9">
        <v>0.74368780967265702</v>
      </c>
      <c r="AN9">
        <v>8.9393593244197794E-2</v>
      </c>
      <c r="AO9">
        <v>7.0042809666502698E-2</v>
      </c>
      <c r="AP9">
        <v>4.2870304337893697E-2</v>
      </c>
      <c r="AQ9">
        <v>4.9359402403666E-2</v>
      </c>
      <c r="AR9">
        <v>3.6514078525659001E-2</v>
      </c>
      <c r="AT9">
        <f t="shared" si="2"/>
        <v>0.669350065878351</v>
      </c>
      <c r="AU9">
        <f t="shared" si="3"/>
        <v>0.1120698596299784</v>
      </c>
      <c r="AV9">
        <f t="shared" si="4"/>
        <v>9.2636866549065347E-2</v>
      </c>
      <c r="AW9">
        <f t="shared" si="5"/>
        <v>5.7878081003022198E-2</v>
      </c>
      <c r="AX9">
        <f t="shared" si="6"/>
        <v>6.6208481754792797E-2</v>
      </c>
      <c r="AY9">
        <f t="shared" si="7"/>
        <v>4.6036460374117447E-2</v>
      </c>
      <c r="BH9" s="1">
        <v>190.394825</v>
      </c>
      <c r="BI9" s="1">
        <v>315.134615</v>
      </c>
      <c r="BJ9" s="1">
        <v>165.60454899999999</v>
      </c>
      <c r="BK9" s="1">
        <v>140.691982</v>
      </c>
      <c r="BL9" s="1">
        <v>254.96036599999999</v>
      </c>
      <c r="BM9" s="1">
        <v>0.934307</v>
      </c>
      <c r="BN9" s="1">
        <v>0.86131400000000002</v>
      </c>
      <c r="BO9" s="1">
        <v>124</v>
      </c>
      <c r="BP9" s="1">
        <v>180.083922</v>
      </c>
      <c r="BQ9" s="1">
        <v>146.917528</v>
      </c>
      <c r="BR9" s="1">
        <v>83118.639395999999</v>
      </c>
      <c r="BS9" s="1">
        <v>1.2257480000000001</v>
      </c>
      <c r="BT9" s="1">
        <v>0.26666699999999999</v>
      </c>
      <c r="BU9" s="1">
        <v>561.93931399999997</v>
      </c>
      <c r="BV9" s="1">
        <v>944.57514000000003</v>
      </c>
      <c r="BW9" s="1">
        <v>7648.2585390000004</v>
      </c>
      <c r="BX9" s="1">
        <v>0.123502</v>
      </c>
      <c r="BY9" s="1">
        <v>9154.7729930000005</v>
      </c>
      <c r="BZ9" s="1">
        <v>6.1382110000000001</v>
      </c>
      <c r="CA9" s="1">
        <v>10.317843</v>
      </c>
      <c r="CB9" s="1">
        <v>83.543944999999994</v>
      </c>
      <c r="CC9" s="1">
        <v>10.992592</v>
      </c>
      <c r="CD9" s="1">
        <v>89.007407999999998</v>
      </c>
    </row>
    <row r="10" spans="1:82" x14ac:dyDescent="0.4">
      <c r="A10">
        <v>3</v>
      </c>
      <c r="B10" t="s">
        <v>39</v>
      </c>
      <c r="C10">
        <v>3</v>
      </c>
      <c r="D10" s="1">
        <v>7</v>
      </c>
      <c r="E10" s="1">
        <v>8</v>
      </c>
      <c r="F10" s="1">
        <v>3</v>
      </c>
      <c r="J10">
        <v>256.79604666813498</v>
      </c>
      <c r="K10">
        <v>17.309256333926701</v>
      </c>
      <c r="L10">
        <v>29.0530530837664</v>
      </c>
      <c r="M10">
        <v>5.5843824422991002</v>
      </c>
      <c r="N10">
        <v>6.4409068242500203</v>
      </c>
      <c r="O10">
        <v>4.1072912953989498</v>
      </c>
      <c r="Q10">
        <v>365.06932039458098</v>
      </c>
      <c r="R10">
        <v>15.4129741275186</v>
      </c>
      <c r="S10">
        <v>29.5133483670263</v>
      </c>
      <c r="T10">
        <v>5.3149374855522202</v>
      </c>
      <c r="U10">
        <v>5.2282315647304101</v>
      </c>
      <c r="V10">
        <v>3.29079542238726</v>
      </c>
      <c r="X10">
        <f t="shared" si="8"/>
        <v>0.15278700379284382</v>
      </c>
      <c r="Y10">
        <f t="shared" si="9"/>
        <v>-5.0391960073246755E-2</v>
      </c>
      <c r="Z10">
        <f t="shared" si="10"/>
        <v>6.8267065337155319E-3</v>
      </c>
      <c r="AA10">
        <f t="shared" si="11"/>
        <v>-2.1476992264653605E-2</v>
      </c>
      <c r="AB10">
        <f t="shared" si="12"/>
        <v>-9.0592201825097307E-2</v>
      </c>
      <c r="AC10">
        <f t="shared" si="13"/>
        <v>-9.6254620261153945E-2</v>
      </c>
      <c r="AF10">
        <v>0.82059125902777197</v>
      </c>
      <c r="AG10">
        <v>5.5311694366725901E-2</v>
      </c>
      <c r="AH10">
        <v>9.2838973644397998E-2</v>
      </c>
      <c r="AI10">
        <v>1.78448830450295E-2</v>
      </c>
      <c r="AJ10">
        <v>2.0581905012822501E-2</v>
      </c>
      <c r="AK10">
        <v>1.3124841207703301E-2</v>
      </c>
      <c r="AM10">
        <v>0.874480400071458</v>
      </c>
      <c r="AN10">
        <v>3.6919957466586398E-2</v>
      </c>
      <c r="AO10">
        <v>7.0695737071387599E-2</v>
      </c>
      <c r="AP10">
        <v>1.27313044374613E-2</v>
      </c>
      <c r="AQ10">
        <v>1.25236106541358E-2</v>
      </c>
      <c r="AR10">
        <v>7.8827114105676308E-3</v>
      </c>
      <c r="AT10">
        <f t="shared" si="2"/>
        <v>0.84753582954961493</v>
      </c>
      <c r="AU10">
        <f t="shared" si="3"/>
        <v>4.6115825916656153E-2</v>
      </c>
      <c r="AV10">
        <f t="shared" si="4"/>
        <v>8.1767355357892799E-2</v>
      </c>
      <c r="AW10">
        <f t="shared" si="5"/>
        <v>1.5288093741245401E-2</v>
      </c>
      <c r="AX10">
        <f t="shared" si="6"/>
        <v>1.6552757833479152E-2</v>
      </c>
      <c r="AY10">
        <f t="shared" si="7"/>
        <v>1.0503776309135467E-2</v>
      </c>
      <c r="BF10" s="1"/>
      <c r="BH10" s="1">
        <v>197.72318799999999</v>
      </c>
      <c r="BI10" s="1">
        <v>303.454545</v>
      </c>
      <c r="BJ10" s="1">
        <v>166.03472300000001</v>
      </c>
      <c r="BK10" s="1">
        <v>145.599278</v>
      </c>
      <c r="BL10" s="1">
        <v>262.94520799999998</v>
      </c>
      <c r="BM10" s="1">
        <v>0.93313100000000004</v>
      </c>
      <c r="BN10" s="1">
        <v>0.860182</v>
      </c>
      <c r="BO10" s="1">
        <v>132</v>
      </c>
      <c r="BP10" s="1">
        <v>185.929901</v>
      </c>
      <c r="BQ10" s="1">
        <v>144.30380500000001</v>
      </c>
      <c r="BR10" s="1">
        <v>84290.162689000004</v>
      </c>
      <c r="BS10" s="1">
        <v>1.288462</v>
      </c>
      <c r="BT10" s="1">
        <v>0.2</v>
      </c>
      <c r="BU10" s="1">
        <v>1509.7165520000001</v>
      </c>
      <c r="BV10" s="1">
        <v>2691.051469</v>
      </c>
      <c r="BW10" s="1">
        <v>6503.3763410000001</v>
      </c>
      <c r="BX10" s="1">
        <v>0.41379300000000002</v>
      </c>
      <c r="BY10" s="1">
        <v>10704.144361999999</v>
      </c>
      <c r="BZ10" s="1">
        <v>14.104037999999999</v>
      </c>
      <c r="CA10" s="1">
        <v>25.140276</v>
      </c>
      <c r="CB10" s="1">
        <v>60.755685999999997</v>
      </c>
      <c r="CC10" s="1">
        <v>29.268286</v>
      </c>
      <c r="CD10" s="1">
        <v>70.731713999999997</v>
      </c>
    </row>
    <row r="11" spans="1:82" x14ac:dyDescent="0.4">
      <c r="A11">
        <v>4</v>
      </c>
      <c r="B11" t="s">
        <v>40</v>
      </c>
      <c r="C11">
        <v>1</v>
      </c>
      <c r="D11" s="1">
        <v>3</v>
      </c>
      <c r="E11" s="1">
        <v>2</v>
      </c>
      <c r="F11" s="1">
        <v>53</v>
      </c>
      <c r="G11" s="1" t="s">
        <v>115</v>
      </c>
      <c r="J11">
        <v>386.64329912590102</v>
      </c>
      <c r="K11">
        <v>10.5606221648094</v>
      </c>
      <c r="L11">
        <v>6.1355881333245001</v>
      </c>
      <c r="M11">
        <v>3.0494779558548801</v>
      </c>
      <c r="N11">
        <v>3.8805161581930898</v>
      </c>
      <c r="O11">
        <v>2.4876770937247401</v>
      </c>
      <c r="Q11">
        <v>249.63956126368899</v>
      </c>
      <c r="R11">
        <v>10.598590659878999</v>
      </c>
      <c r="S11">
        <v>5.48952227304299</v>
      </c>
      <c r="T11">
        <v>2.5310940508154798</v>
      </c>
      <c r="U11">
        <v>3.8587640449798002</v>
      </c>
      <c r="V11">
        <v>2.6236758183265398</v>
      </c>
      <c r="X11">
        <f t="shared" si="8"/>
        <v>-0.18999707722154291</v>
      </c>
      <c r="Y11">
        <f t="shared" si="9"/>
        <v>1.5586142764347777E-3</v>
      </c>
      <c r="Z11">
        <f t="shared" si="10"/>
        <v>-4.8321647301841852E-2</v>
      </c>
      <c r="AA11">
        <f t="shared" si="11"/>
        <v>-8.0917215220906502E-2</v>
      </c>
      <c r="AB11">
        <f t="shared" si="12"/>
        <v>-2.4412729260517851E-3</v>
      </c>
      <c r="AC11">
        <f t="shared" si="13"/>
        <v>2.3116165301674596E-2</v>
      </c>
      <c r="AF11">
        <v>0.94550404085613904</v>
      </c>
      <c r="AG11">
        <v>2.5825123449329E-2</v>
      </c>
      <c r="AH11">
        <v>1.5004070641343899E-2</v>
      </c>
      <c r="AI11">
        <v>7.4572447945713402E-3</v>
      </c>
      <c r="AJ11">
        <v>9.4894796223647399E-3</v>
      </c>
      <c r="AK11">
        <v>6.0834074967275999E-3</v>
      </c>
      <c r="AM11">
        <v>0.92216818833588299</v>
      </c>
      <c r="AN11">
        <v>3.9151178996867798E-2</v>
      </c>
      <c r="AO11">
        <v>2.0278287558815101E-2</v>
      </c>
      <c r="AP11">
        <v>9.3498578652074608E-3</v>
      </c>
      <c r="AQ11">
        <v>1.4254268957058299E-2</v>
      </c>
      <c r="AR11">
        <v>9.6918547842311503E-3</v>
      </c>
      <c r="AT11">
        <f t="shared" si="2"/>
        <v>0.93383611459601101</v>
      </c>
      <c r="AU11">
        <f t="shared" si="3"/>
        <v>3.2488151223098401E-2</v>
      </c>
      <c r="AV11">
        <f t="shared" si="4"/>
        <v>1.76411791000795E-2</v>
      </c>
      <c r="AW11">
        <f t="shared" si="5"/>
        <v>8.4035513298894009E-3</v>
      </c>
      <c r="AX11">
        <f t="shared" si="6"/>
        <v>1.187187428971152E-2</v>
      </c>
      <c r="AY11">
        <f t="shared" si="7"/>
        <v>7.8876311404793755E-3</v>
      </c>
      <c r="BF11" s="1"/>
      <c r="BH11" s="1">
        <v>73.417753000000005</v>
      </c>
      <c r="BI11" s="1">
        <v>817.24102600000003</v>
      </c>
      <c r="BJ11" s="1">
        <v>43.678761999999999</v>
      </c>
      <c r="BK11" s="1">
        <v>30.808513999999999</v>
      </c>
      <c r="BL11" s="1">
        <v>45.371738000000001</v>
      </c>
      <c r="BM11" s="1">
        <v>0.53243200000000002</v>
      </c>
      <c r="BN11" s="1">
        <v>0.21621599999999999</v>
      </c>
      <c r="BO11" s="1">
        <v>28</v>
      </c>
      <c r="BP11" s="1">
        <v>32.080979999999997</v>
      </c>
      <c r="BQ11" s="1">
        <v>52.407729000000003</v>
      </c>
      <c r="BR11" s="1">
        <v>5281.9323869999998</v>
      </c>
      <c r="BS11" s="1">
        <v>0.61214199999999996</v>
      </c>
      <c r="BT11" s="1">
        <v>0.28238000000000002</v>
      </c>
      <c r="BU11" s="1">
        <v>624.540569</v>
      </c>
      <c r="BV11" s="1">
        <v>435.55150700000002</v>
      </c>
      <c r="BW11" s="1">
        <v>458.89130699999998</v>
      </c>
      <c r="BX11" s="1">
        <v>0.94913899999999995</v>
      </c>
      <c r="BY11" s="1">
        <v>1518.983383</v>
      </c>
      <c r="BZ11" s="1">
        <v>41.115695000000002</v>
      </c>
      <c r="CA11" s="1">
        <v>28.673881999999999</v>
      </c>
      <c r="CB11" s="1">
        <v>30.210422999999999</v>
      </c>
      <c r="CC11" s="1">
        <v>48.695287999999998</v>
      </c>
      <c r="CD11" s="1">
        <v>51.304712000000002</v>
      </c>
    </row>
    <row r="12" spans="1:82" x14ac:dyDescent="0.4">
      <c r="A12">
        <v>4</v>
      </c>
      <c r="B12" t="s">
        <v>41</v>
      </c>
      <c r="C12">
        <v>2</v>
      </c>
      <c r="D12" s="1">
        <v>6</v>
      </c>
      <c r="E12" s="1">
        <v>3</v>
      </c>
      <c r="F12" s="1">
        <v>53</v>
      </c>
      <c r="J12">
        <v>231.030978654672</v>
      </c>
      <c r="K12">
        <v>10.072137338614199</v>
      </c>
      <c r="L12">
        <v>4.7396958612556102</v>
      </c>
      <c r="M12">
        <v>2.67351467383103</v>
      </c>
      <c r="N12">
        <v>2.89122150465057</v>
      </c>
      <c r="O12">
        <v>1.66549439903519</v>
      </c>
      <c r="Q12">
        <v>173.04762712093799</v>
      </c>
      <c r="R12">
        <v>9.5575930554630197</v>
      </c>
      <c r="S12">
        <v>4.1130642570607199</v>
      </c>
      <c r="T12">
        <v>2.28581611526818</v>
      </c>
      <c r="U12">
        <v>2.82833958181177</v>
      </c>
      <c r="V12">
        <v>1.73637706786177</v>
      </c>
      <c r="X12">
        <f t="shared" si="8"/>
        <v>-0.12550456930052967</v>
      </c>
      <c r="Y12">
        <f t="shared" si="9"/>
        <v>-2.2773103834867525E-2</v>
      </c>
      <c r="Z12">
        <f t="shared" si="10"/>
        <v>-6.158498017891334E-2</v>
      </c>
      <c r="AA12">
        <f t="shared" si="11"/>
        <v>-6.8041281891543293E-2</v>
      </c>
      <c r="AB12">
        <f t="shared" si="12"/>
        <v>-9.5498140774759599E-3</v>
      </c>
      <c r="AC12">
        <f t="shared" si="13"/>
        <v>1.8100865004241962E-2</v>
      </c>
      <c r="AF12">
        <v>0.92749699668512897</v>
      </c>
      <c r="AG12">
        <v>4.04356038578201E-2</v>
      </c>
      <c r="AH12">
        <v>1.9027983615506401E-2</v>
      </c>
      <c r="AI12">
        <v>1.0733092354157101E-2</v>
      </c>
      <c r="AJ12">
        <v>1.1607098225226001E-2</v>
      </c>
      <c r="AK12">
        <v>6.6862940290358204E-3</v>
      </c>
      <c r="AM12">
        <v>0.90864189600567802</v>
      </c>
      <c r="AN12">
        <v>5.0185198258149599E-2</v>
      </c>
      <c r="AO12">
        <v>2.1596958982378602E-2</v>
      </c>
      <c r="AP12">
        <v>1.20024083742337E-2</v>
      </c>
      <c r="AQ12">
        <v>1.4851101300391099E-2</v>
      </c>
      <c r="AR12">
        <v>9.1174029795858397E-3</v>
      </c>
      <c r="AT12">
        <f t="shared" si="2"/>
        <v>0.91806944634540355</v>
      </c>
      <c r="AU12">
        <f t="shared" si="3"/>
        <v>4.5310401057984853E-2</v>
      </c>
      <c r="AV12">
        <f t="shared" si="4"/>
        <v>2.0312471298942501E-2</v>
      </c>
      <c r="AW12">
        <f t="shared" si="5"/>
        <v>1.1367750364195401E-2</v>
      </c>
      <c r="AX12">
        <f t="shared" si="6"/>
        <v>1.322909976280855E-2</v>
      </c>
      <c r="AY12">
        <f t="shared" si="7"/>
        <v>7.9018485043108305E-3</v>
      </c>
      <c r="BF12" s="1"/>
      <c r="BH12" s="1">
        <v>68.775999999999996</v>
      </c>
      <c r="BI12" s="1">
        <v>872.39735099999996</v>
      </c>
      <c r="BJ12" s="1">
        <v>58.813442000000002</v>
      </c>
      <c r="BK12" s="1">
        <v>50.29307</v>
      </c>
      <c r="BL12" s="1">
        <v>73.993194000000003</v>
      </c>
      <c r="BM12" s="1">
        <v>0.70143900000000003</v>
      </c>
      <c r="BN12" s="1">
        <v>0.40287800000000001</v>
      </c>
      <c r="BO12" s="1">
        <v>36</v>
      </c>
      <c r="BP12" s="1">
        <v>52.272314000000001</v>
      </c>
      <c r="BQ12" s="1">
        <v>61.140292000000002</v>
      </c>
      <c r="BR12" s="1">
        <v>10040.355862</v>
      </c>
      <c r="BS12" s="1">
        <v>0.85495699999999997</v>
      </c>
      <c r="BT12" s="1">
        <v>0.26666699999999999</v>
      </c>
      <c r="BU12" s="1">
        <v>669.12052300000005</v>
      </c>
      <c r="BV12" s="1">
        <v>492.54694999999998</v>
      </c>
      <c r="BW12" s="1">
        <v>511.63504499999999</v>
      </c>
      <c r="BX12" s="1">
        <v>0.96269199999999999</v>
      </c>
      <c r="BY12" s="1">
        <v>1673.3025190000001</v>
      </c>
      <c r="BZ12" s="1">
        <v>39.988019000000001</v>
      </c>
      <c r="CA12" s="1">
        <v>29.435618999999999</v>
      </c>
      <c r="CB12" s="1">
        <v>30.576363000000001</v>
      </c>
      <c r="CC12" s="1">
        <v>49.049570000000003</v>
      </c>
      <c r="CD12" s="1">
        <v>50.950429999999997</v>
      </c>
    </row>
    <row r="13" spans="1:82" x14ac:dyDescent="0.4">
      <c r="A13">
        <v>4</v>
      </c>
      <c r="B13" t="s">
        <v>42</v>
      </c>
      <c r="C13">
        <v>3</v>
      </c>
      <c r="D13" s="1">
        <v>4</v>
      </c>
      <c r="E13" s="1">
        <v>6</v>
      </c>
      <c r="F13" s="1">
        <v>53</v>
      </c>
      <c r="J13">
        <v>721.81175052653396</v>
      </c>
      <c r="K13">
        <v>20.582188236109399</v>
      </c>
      <c r="L13">
        <v>7.8981192445069999</v>
      </c>
      <c r="M13">
        <v>3.7947777069756201</v>
      </c>
      <c r="N13">
        <v>3.9509268855087001</v>
      </c>
      <c r="O13">
        <v>2.1140851758059198</v>
      </c>
      <c r="Q13">
        <v>723.96936900147</v>
      </c>
      <c r="R13">
        <v>26.392722809766799</v>
      </c>
      <c r="S13">
        <v>8.1648354477773299</v>
      </c>
      <c r="T13">
        <v>3.7035732790661702</v>
      </c>
      <c r="U13">
        <v>3.9488945453472999</v>
      </c>
      <c r="V13">
        <v>2.1938371619563002</v>
      </c>
      <c r="X13">
        <f t="shared" si="8"/>
        <v>1.2962439206010146E-3</v>
      </c>
      <c r="Y13">
        <f t="shared" si="9"/>
        <v>0.10799265083677212</v>
      </c>
      <c r="Z13">
        <f t="shared" si="10"/>
        <v>1.4423750132640856E-2</v>
      </c>
      <c r="AA13">
        <f t="shared" si="11"/>
        <v>-1.0565398541599658E-2</v>
      </c>
      <c r="AB13">
        <f t="shared" si="12"/>
        <v>-2.234567311790725E-4</v>
      </c>
      <c r="AC13">
        <f t="shared" si="13"/>
        <v>1.608190792427705E-2</v>
      </c>
      <c r="AF13">
        <v>0.95540046699485803</v>
      </c>
      <c r="AG13">
        <v>2.7242881870807301E-2</v>
      </c>
      <c r="AH13">
        <v>1.0454064801631E-2</v>
      </c>
      <c r="AI13">
        <v>5.0228226275638999E-3</v>
      </c>
      <c r="AJ13">
        <v>5.2295039374518999E-3</v>
      </c>
      <c r="AK13">
        <v>2.7982336984103099E-3</v>
      </c>
      <c r="AM13">
        <v>0.94910783428428502</v>
      </c>
      <c r="AN13">
        <v>3.4600276005312999E-2</v>
      </c>
      <c r="AO13">
        <v>1.07039187304508E-2</v>
      </c>
      <c r="AP13">
        <v>4.8553026751060003E-3</v>
      </c>
      <c r="AQ13">
        <v>5.1769134306343702E-3</v>
      </c>
      <c r="AR13">
        <v>2.8760720089975301E-3</v>
      </c>
      <c r="AT13">
        <f t="shared" si="2"/>
        <v>0.95225415063957153</v>
      </c>
      <c r="AU13">
        <f t="shared" si="3"/>
        <v>3.0921578938060149E-2</v>
      </c>
      <c r="AV13">
        <f t="shared" si="4"/>
        <v>1.05789917660409E-2</v>
      </c>
      <c r="AW13">
        <f t="shared" si="5"/>
        <v>4.9390626513349505E-3</v>
      </c>
      <c r="AX13">
        <f t="shared" si="6"/>
        <v>5.2032086840431355E-3</v>
      </c>
      <c r="AY13">
        <f t="shared" si="7"/>
        <v>2.83715285370392E-3</v>
      </c>
      <c r="BF13" s="1"/>
      <c r="BH13" s="1">
        <v>78.397931</v>
      </c>
      <c r="BI13" s="1">
        <v>765.32631600000002</v>
      </c>
      <c r="BJ13" s="1">
        <v>111.775004</v>
      </c>
      <c r="BK13" s="1">
        <v>58.268954999999998</v>
      </c>
      <c r="BL13" s="1">
        <v>79.352939000000006</v>
      </c>
      <c r="BM13" s="1">
        <v>0.703704</v>
      </c>
      <c r="BN13" s="1">
        <v>0.37036999999999998</v>
      </c>
      <c r="BO13" s="1">
        <v>54</v>
      </c>
      <c r="BP13" s="1">
        <v>55.947983000000001</v>
      </c>
      <c r="BQ13" s="1">
        <v>111.15711400000001</v>
      </c>
      <c r="BR13" s="1">
        <v>19537.616035999999</v>
      </c>
      <c r="BS13" s="1">
        <v>0.50332299999999996</v>
      </c>
      <c r="BT13" s="1">
        <v>0.16666700000000001</v>
      </c>
      <c r="BU13" s="1">
        <v>668.37526600000001</v>
      </c>
      <c r="BV13" s="1">
        <v>1961.4375130000001</v>
      </c>
      <c r="BW13" s="1">
        <v>3363.017707</v>
      </c>
      <c r="BX13" s="1">
        <v>0.58323700000000001</v>
      </c>
      <c r="BY13" s="1">
        <v>5992.8304859999998</v>
      </c>
      <c r="BZ13" s="1">
        <v>11.152915</v>
      </c>
      <c r="CA13" s="1">
        <v>32.729734999999998</v>
      </c>
      <c r="CB13" s="1">
        <v>56.117350999999999</v>
      </c>
      <c r="CC13" s="1">
        <v>36.838276</v>
      </c>
      <c r="CD13" s="1">
        <v>63.161724</v>
      </c>
    </row>
    <row r="14" spans="1:82" x14ac:dyDescent="0.4">
      <c r="A14">
        <v>5</v>
      </c>
      <c r="B14" t="s">
        <v>43</v>
      </c>
      <c r="C14">
        <v>1</v>
      </c>
      <c r="D14" s="1">
        <v>5</v>
      </c>
      <c r="E14" s="1">
        <v>10</v>
      </c>
      <c r="F14" s="1">
        <v>14</v>
      </c>
      <c r="G14" s="1" t="s">
        <v>110</v>
      </c>
      <c r="J14">
        <v>118.974694646103</v>
      </c>
      <c r="K14">
        <v>11.435458000937601</v>
      </c>
      <c r="L14">
        <v>9.8547655092668602</v>
      </c>
      <c r="M14">
        <v>5.0564424237533299</v>
      </c>
      <c r="N14">
        <v>6.26523135651101</v>
      </c>
      <c r="O14">
        <v>5.6938123470513498</v>
      </c>
      <c r="Q14">
        <v>184.88242651021801</v>
      </c>
      <c r="R14">
        <v>18.829643461047201</v>
      </c>
      <c r="S14">
        <v>11.5477132940226</v>
      </c>
      <c r="T14">
        <v>5.4359043298363403</v>
      </c>
      <c r="U14">
        <v>9.60910994173293</v>
      </c>
      <c r="V14">
        <v>10.2131260728548</v>
      </c>
      <c r="X14">
        <f t="shared" si="8"/>
        <v>0.19144103361933862</v>
      </c>
      <c r="Y14">
        <f t="shared" si="9"/>
        <v>0.21658853353953167</v>
      </c>
      <c r="Z14">
        <f t="shared" si="10"/>
        <v>6.8849697851939173E-2</v>
      </c>
      <c r="AA14">
        <f t="shared" si="11"/>
        <v>3.1426738265636467E-2</v>
      </c>
      <c r="AB14">
        <f t="shared" si="12"/>
        <v>0.18574604951132845</v>
      </c>
      <c r="AC14">
        <f t="shared" si="13"/>
        <v>0.25375554310515669</v>
      </c>
      <c r="AF14">
        <v>0.77724931596925295</v>
      </c>
      <c r="AG14">
        <v>7.4706658718161401E-2</v>
      </c>
      <c r="AH14">
        <v>6.4380158939672305E-2</v>
      </c>
      <c r="AI14">
        <v>3.3033212875986401E-2</v>
      </c>
      <c r="AJ14">
        <v>4.0930105353263198E-2</v>
      </c>
      <c r="AK14">
        <v>3.7197084347784203E-2</v>
      </c>
      <c r="AM14">
        <v>0.78752463360974601</v>
      </c>
      <c r="AN14">
        <v>8.0206693235085502E-2</v>
      </c>
      <c r="AO14">
        <v>4.9188605172287202E-2</v>
      </c>
      <c r="AP14">
        <v>2.3154761901912801E-2</v>
      </c>
      <c r="AQ14">
        <v>4.0930936103658E-2</v>
      </c>
      <c r="AR14">
        <v>4.3503801417765303E-2</v>
      </c>
      <c r="AT14">
        <f t="shared" si="2"/>
        <v>0.78238697478949948</v>
      </c>
      <c r="AU14">
        <f t="shared" si="3"/>
        <v>7.7456675976623451E-2</v>
      </c>
      <c r="AV14">
        <f t="shared" si="4"/>
        <v>5.6784382055979757E-2</v>
      </c>
      <c r="AW14">
        <f t="shared" si="5"/>
        <v>2.8093987388949603E-2</v>
      </c>
      <c r="AX14">
        <f t="shared" si="6"/>
        <v>4.0930520728460595E-2</v>
      </c>
      <c r="AY14">
        <f t="shared" si="7"/>
        <v>4.0350442882774756E-2</v>
      </c>
      <c r="BF14" s="1"/>
      <c r="BH14" s="1">
        <v>219.49732399999999</v>
      </c>
      <c r="BI14" s="1">
        <v>273.35185200000001</v>
      </c>
      <c r="BJ14" s="1">
        <v>181.87079800000001</v>
      </c>
      <c r="BK14" s="1">
        <v>157.52227199999999</v>
      </c>
      <c r="BL14" s="1">
        <v>293.49793399999999</v>
      </c>
      <c r="BM14" s="1">
        <v>0.95555599999999996</v>
      </c>
      <c r="BN14" s="1">
        <v>0.88888900000000004</v>
      </c>
      <c r="BO14" s="1">
        <v>146</v>
      </c>
      <c r="BP14" s="1">
        <v>206.229612</v>
      </c>
      <c r="BQ14" s="1">
        <v>155.18919299999999</v>
      </c>
      <c r="BR14" s="1">
        <v>100545.43836</v>
      </c>
      <c r="BS14" s="1">
        <v>1.328892</v>
      </c>
      <c r="BT14" s="1">
        <v>0.3</v>
      </c>
      <c r="BU14" s="1">
        <v>46678.018859000003</v>
      </c>
      <c r="BV14" s="1">
        <v>2158.5148840000002</v>
      </c>
      <c r="BW14" s="1">
        <v>12196.258448</v>
      </c>
      <c r="BX14" s="1">
        <v>0.176982</v>
      </c>
      <c r="BY14" s="1">
        <v>61032.79219</v>
      </c>
      <c r="BZ14" s="1">
        <v>76.480227999999997</v>
      </c>
      <c r="CA14" s="1">
        <v>3.536648</v>
      </c>
      <c r="CB14" s="1">
        <v>19.983124</v>
      </c>
      <c r="CC14" s="1">
        <v>15.036913999999999</v>
      </c>
      <c r="CD14" s="1">
        <v>84.963086000000004</v>
      </c>
    </row>
    <row r="15" spans="1:82" x14ac:dyDescent="0.4">
      <c r="A15">
        <v>5</v>
      </c>
      <c r="B15" t="s">
        <v>44</v>
      </c>
      <c r="C15">
        <v>2</v>
      </c>
      <c r="D15" s="1">
        <v>3</v>
      </c>
      <c r="E15" s="1">
        <v>7</v>
      </c>
      <c r="F15" s="1">
        <v>14</v>
      </c>
      <c r="J15">
        <v>93.542895248228405</v>
      </c>
      <c r="K15">
        <v>6.5566756220218201</v>
      </c>
      <c r="L15">
        <v>7.5887758242977599</v>
      </c>
      <c r="M15">
        <v>3.8162811268769699</v>
      </c>
      <c r="N15">
        <v>7.2557401017132701</v>
      </c>
      <c r="O15">
        <v>9.1470296021106794</v>
      </c>
      <c r="Q15">
        <v>154.80382836658299</v>
      </c>
      <c r="R15">
        <v>7.2151849502583403</v>
      </c>
      <c r="S15">
        <v>7.2002148225134404</v>
      </c>
      <c r="T15">
        <v>4.5490749005845199</v>
      </c>
      <c r="U15">
        <v>17.491414936151799</v>
      </c>
      <c r="V15">
        <v>32.264500326075797</v>
      </c>
      <c r="X15">
        <f t="shared" si="8"/>
        <v>0.21877088913406628</v>
      </c>
      <c r="Y15">
        <f t="shared" si="9"/>
        <v>4.156376967277664E-2</v>
      </c>
      <c r="Z15">
        <f t="shared" si="10"/>
        <v>-2.2826269722119652E-2</v>
      </c>
      <c r="AA15">
        <f t="shared" si="11"/>
        <v>7.6282727980251264E-2</v>
      </c>
      <c r="AB15">
        <f t="shared" si="12"/>
        <v>0.38214322431938796</v>
      </c>
      <c r="AC15">
        <f t="shared" si="13"/>
        <v>0.54744485908807683</v>
      </c>
      <c r="AF15">
        <v>0.74615532172117605</v>
      </c>
      <c r="AG15">
        <v>5.2300053309112603E-2</v>
      </c>
      <c r="AH15">
        <v>6.0532715516478701E-2</v>
      </c>
      <c r="AI15">
        <v>3.0440991423742202E-2</v>
      </c>
      <c r="AJ15">
        <v>5.7876218985446003E-2</v>
      </c>
      <c r="AK15">
        <v>7.2962300316284895E-2</v>
      </c>
      <c r="AM15">
        <v>0.70357090434691705</v>
      </c>
      <c r="AN15">
        <v>3.2792433197855998E-2</v>
      </c>
      <c r="AO15">
        <v>3.27243951756261E-2</v>
      </c>
      <c r="AP15">
        <v>2.0675178227291299E-2</v>
      </c>
      <c r="AQ15">
        <v>7.9497068998792803E-2</v>
      </c>
      <c r="AR15">
        <v>0.146639549630278</v>
      </c>
      <c r="AT15">
        <f t="shared" si="2"/>
        <v>0.7248631130340466</v>
      </c>
      <c r="AU15">
        <f t="shared" si="3"/>
        <v>4.25462432534843E-2</v>
      </c>
      <c r="AV15">
        <f t="shared" si="4"/>
        <v>4.6628555346052397E-2</v>
      </c>
      <c r="AW15">
        <f t="shared" si="5"/>
        <v>2.555808482551675E-2</v>
      </c>
      <c r="AX15">
        <f t="shared" si="6"/>
        <v>6.8686643992119406E-2</v>
      </c>
      <c r="AY15">
        <f t="shared" si="7"/>
        <v>0.10980092497328145</v>
      </c>
      <c r="BF15" s="1"/>
      <c r="BH15" s="1">
        <v>220.017256</v>
      </c>
      <c r="BI15" s="1">
        <v>272.70588199999997</v>
      </c>
      <c r="BJ15" s="1">
        <v>182.02399199999999</v>
      </c>
      <c r="BK15" s="1">
        <v>165.5198</v>
      </c>
      <c r="BL15" s="1">
        <v>286.11937399999999</v>
      </c>
      <c r="BM15" s="1">
        <v>0.91975300000000004</v>
      </c>
      <c r="BN15" s="1">
        <v>0.82098800000000005</v>
      </c>
      <c r="BO15" s="1">
        <v>128</v>
      </c>
      <c r="BP15" s="1">
        <v>199.578822</v>
      </c>
      <c r="BQ15" s="1">
        <v>158.211263</v>
      </c>
      <c r="BR15" s="1">
        <v>99197.728099</v>
      </c>
      <c r="BS15" s="1">
        <v>1.2614700000000001</v>
      </c>
      <c r="BT15" s="1">
        <v>0.2</v>
      </c>
      <c r="BU15" s="1">
        <v>367.58358500000003</v>
      </c>
      <c r="BV15" s="1">
        <v>1927.313684</v>
      </c>
      <c r="BW15" s="1">
        <v>6963.0663880000002</v>
      </c>
      <c r="BX15" s="1">
        <v>0.27679100000000001</v>
      </c>
      <c r="BY15" s="1">
        <v>9257.9636570000002</v>
      </c>
      <c r="BZ15" s="1">
        <v>3.9704579999999998</v>
      </c>
      <c r="CA15" s="1">
        <v>20.817900999999999</v>
      </c>
      <c r="CB15" s="1">
        <v>75.211641</v>
      </c>
      <c r="CC15" s="1">
        <v>21.678642</v>
      </c>
      <c r="CD15" s="1">
        <v>78.321358000000004</v>
      </c>
    </row>
    <row r="16" spans="1:82" x14ac:dyDescent="0.4">
      <c r="A16">
        <v>5</v>
      </c>
      <c r="B16" t="s">
        <v>45</v>
      </c>
      <c r="C16">
        <v>3</v>
      </c>
      <c r="D16" s="1">
        <v>4</v>
      </c>
      <c r="E16" s="1">
        <v>8</v>
      </c>
      <c r="F16" s="1">
        <v>14</v>
      </c>
      <c r="J16">
        <v>575.54638927330404</v>
      </c>
      <c r="K16">
        <v>12.5791116768203</v>
      </c>
      <c r="L16">
        <v>13.8141171348251</v>
      </c>
      <c r="M16">
        <v>3.76389687828966</v>
      </c>
      <c r="N16">
        <v>4.9424583681848704</v>
      </c>
      <c r="O16">
        <v>3.3707872145698898</v>
      </c>
      <c r="Q16">
        <v>394.959739212464</v>
      </c>
      <c r="R16">
        <v>12.2278519182682</v>
      </c>
      <c r="S16">
        <v>13.441006126182801</v>
      </c>
      <c r="T16">
        <v>3.98668997747132</v>
      </c>
      <c r="U16">
        <v>4.4729181163732497</v>
      </c>
      <c r="V16">
        <v>4.0630722672641602</v>
      </c>
      <c r="X16">
        <f t="shared" si="8"/>
        <v>-0.16352750623688861</v>
      </c>
      <c r="Y16">
        <f t="shared" si="9"/>
        <v>-1.2299802095468548E-2</v>
      </c>
      <c r="Z16">
        <f t="shared" si="10"/>
        <v>-1.1891355186159691E-2</v>
      </c>
      <c r="AA16">
        <f t="shared" si="11"/>
        <v>2.4974748033173566E-2</v>
      </c>
      <c r="AB16">
        <f t="shared" si="12"/>
        <v>-4.3352071989109398E-2</v>
      </c>
      <c r="AC16">
        <f t="shared" si="13"/>
        <v>8.1123208943956859E-2</v>
      </c>
      <c r="AF16">
        <v>0.94338438837797201</v>
      </c>
      <c r="AG16">
        <v>2.0618559679539902E-2</v>
      </c>
      <c r="AH16">
        <v>2.2642870647964799E-2</v>
      </c>
      <c r="AI16">
        <v>6.1694445845214404E-3</v>
      </c>
      <c r="AJ16">
        <v>8.1012376268067895E-3</v>
      </c>
      <c r="AK16">
        <v>5.5250942305178404E-3</v>
      </c>
      <c r="AM16">
        <v>0.92007806115609303</v>
      </c>
      <c r="AN16">
        <v>2.84853800731622E-2</v>
      </c>
      <c r="AO16">
        <v>3.1311482231642998E-2</v>
      </c>
      <c r="AP16">
        <v>9.2871896062526205E-3</v>
      </c>
      <c r="AQ16">
        <v>1.0419881875627901E-2</v>
      </c>
      <c r="AR16">
        <v>9.4651258922127703E-3</v>
      </c>
      <c r="AT16">
        <f t="shared" si="2"/>
        <v>0.93173122476703252</v>
      </c>
      <c r="AU16">
        <f t="shared" si="3"/>
        <v>2.4551969876351051E-2</v>
      </c>
      <c r="AV16">
        <f t="shared" si="4"/>
        <v>2.69771764398039E-2</v>
      </c>
      <c r="AW16">
        <f t="shared" si="5"/>
        <v>7.72831709538703E-3</v>
      </c>
      <c r="AX16">
        <f t="shared" si="6"/>
        <v>9.2605597512173451E-3</v>
      </c>
      <c r="AY16">
        <f t="shared" si="7"/>
        <v>7.4951100613653053E-3</v>
      </c>
      <c r="BF16" s="1"/>
      <c r="BH16" s="1">
        <v>185.53057799999999</v>
      </c>
      <c r="BI16" s="1">
        <v>323.39682499999998</v>
      </c>
      <c r="BJ16" s="1">
        <v>209.08360400000001</v>
      </c>
      <c r="BK16" s="1">
        <v>189.14744200000001</v>
      </c>
      <c r="BL16" s="1">
        <v>337.735975</v>
      </c>
      <c r="BM16" s="1">
        <v>0.91489399999999999</v>
      </c>
      <c r="BN16" s="1">
        <v>0.86524800000000002</v>
      </c>
      <c r="BO16" s="1">
        <v>146</v>
      </c>
      <c r="BP16" s="1">
        <v>237.70444000000001</v>
      </c>
      <c r="BQ16" s="1">
        <v>168.251239</v>
      </c>
      <c r="BR16" s="1">
        <v>125645.065753</v>
      </c>
      <c r="BS16" s="1">
        <v>1.412795</v>
      </c>
      <c r="BT16" s="1">
        <v>0.13333300000000001</v>
      </c>
      <c r="BU16" s="1">
        <v>1275964.3417730001</v>
      </c>
      <c r="BV16" s="1">
        <v>1864.9154140000001</v>
      </c>
      <c r="BW16" s="1">
        <v>10218.799371999999</v>
      </c>
      <c r="BX16" s="1">
        <v>0.18249799999999999</v>
      </c>
      <c r="BY16" s="1">
        <v>1288048.0565579999</v>
      </c>
      <c r="BZ16" s="1">
        <v>99.061858000000001</v>
      </c>
      <c r="CA16" s="1">
        <v>0.144786</v>
      </c>
      <c r="CB16" s="1">
        <v>0.79335500000000003</v>
      </c>
      <c r="CC16" s="1">
        <v>15.433296</v>
      </c>
      <c r="CD16" s="1">
        <v>84.566704000000001</v>
      </c>
    </row>
    <row r="17" spans="1:82" x14ac:dyDescent="0.4">
      <c r="A17">
        <v>6</v>
      </c>
      <c r="B17" t="s">
        <v>46</v>
      </c>
      <c r="C17">
        <v>1</v>
      </c>
      <c r="D17" s="1">
        <v>5</v>
      </c>
      <c r="E17" s="1">
        <v>4</v>
      </c>
      <c r="F17" s="1">
        <v>3</v>
      </c>
      <c r="G17" s="1" t="s">
        <v>110</v>
      </c>
      <c r="J17">
        <v>113.53198907731201</v>
      </c>
      <c r="K17">
        <v>15.3766030628338</v>
      </c>
      <c r="L17">
        <v>17.1211152031516</v>
      </c>
      <c r="M17">
        <v>3.4427664744228301</v>
      </c>
      <c r="N17">
        <v>2.9663687943003998</v>
      </c>
      <c r="O17">
        <v>1.8847732302954701</v>
      </c>
      <c r="Q17">
        <v>531.21444931652002</v>
      </c>
      <c r="R17">
        <v>17.768414983978602</v>
      </c>
      <c r="S17">
        <v>18.534326022265098</v>
      </c>
      <c r="T17">
        <v>5.0578117176587698</v>
      </c>
      <c r="U17">
        <v>4.0243816727338197</v>
      </c>
      <c r="V17">
        <v>2.93391320447205</v>
      </c>
      <c r="X17">
        <f t="shared" si="8"/>
        <v>0.67015163281418166</v>
      </c>
      <c r="Y17">
        <f t="shared" si="9"/>
        <v>6.2788285196022198E-2</v>
      </c>
      <c r="Z17">
        <f t="shared" si="10"/>
        <v>3.444474855010049E-2</v>
      </c>
      <c r="AA17">
        <f t="shared" si="11"/>
        <v>0.16705509307712418</v>
      </c>
      <c r="AB17">
        <f t="shared" si="12"/>
        <v>0.13247401874668985</v>
      </c>
      <c r="AC17">
        <f t="shared" si="13"/>
        <v>0.19218815692671642</v>
      </c>
      <c r="AF17">
        <v>0.75721918065792504</v>
      </c>
      <c r="AG17">
        <v>0.102556635069719</v>
      </c>
      <c r="AH17">
        <v>0.114191928913111</v>
      </c>
      <c r="AI17">
        <v>2.2962064085601398E-2</v>
      </c>
      <c r="AJ17">
        <v>1.9784655991711801E-2</v>
      </c>
      <c r="AK17">
        <v>1.2570786901288799E-2</v>
      </c>
      <c r="AM17">
        <v>0.92586018956084903</v>
      </c>
      <c r="AN17">
        <v>3.0968788756459399E-2</v>
      </c>
      <c r="AO17">
        <v>3.23037045141297E-2</v>
      </c>
      <c r="AP17">
        <v>8.8153221767588094E-3</v>
      </c>
      <c r="AQ17">
        <v>7.0141442560091799E-3</v>
      </c>
      <c r="AR17">
        <v>5.1135533665219099E-3</v>
      </c>
      <c r="AT17">
        <f t="shared" si="2"/>
        <v>0.84153968510938704</v>
      </c>
      <c r="AU17">
        <f t="shared" si="3"/>
        <v>6.6762711913089204E-2</v>
      </c>
      <c r="AV17">
        <f t="shared" si="4"/>
        <v>7.3247816713620351E-2</v>
      </c>
      <c r="AW17">
        <f t="shared" si="5"/>
        <v>1.5888693131180104E-2</v>
      </c>
      <c r="AX17">
        <f t="shared" si="6"/>
        <v>1.339940012386049E-2</v>
      </c>
      <c r="AY17">
        <f t="shared" si="7"/>
        <v>8.8421701339053554E-3</v>
      </c>
      <c r="BF17" s="1"/>
      <c r="BH17" s="1">
        <v>141.57170400000001</v>
      </c>
      <c r="BI17" s="1">
        <v>423.81350500000002</v>
      </c>
      <c r="BJ17" s="1">
        <v>219.924667</v>
      </c>
      <c r="BK17" s="1">
        <v>182.98142200000001</v>
      </c>
      <c r="BL17" s="1">
        <v>278.373649</v>
      </c>
      <c r="BM17" s="1">
        <v>0.79083700000000001</v>
      </c>
      <c r="BN17" s="1">
        <v>0.67330699999999999</v>
      </c>
      <c r="BO17" s="1">
        <v>146</v>
      </c>
      <c r="BP17" s="1">
        <v>196.83986899999999</v>
      </c>
      <c r="BQ17" s="1">
        <v>241.705164</v>
      </c>
      <c r="BR17" s="1">
        <v>149468.22179899999</v>
      </c>
      <c r="BS17" s="1">
        <v>0.81437999999999999</v>
      </c>
      <c r="BT17" s="1">
        <v>0.16666700000000001</v>
      </c>
      <c r="BU17" s="1">
        <v>2630.7494849999998</v>
      </c>
      <c r="BV17" s="1">
        <v>4992.4588379999996</v>
      </c>
      <c r="BW17" s="1">
        <v>14541.171676</v>
      </c>
      <c r="BX17" s="1">
        <v>0.343333</v>
      </c>
      <c r="BY17" s="1">
        <v>22164.379999000001</v>
      </c>
      <c r="BZ17" s="1">
        <v>11.869267000000001</v>
      </c>
      <c r="CA17" s="1">
        <v>22.524694</v>
      </c>
      <c r="CB17" s="1">
        <v>65.606038999999996</v>
      </c>
      <c r="CC17" s="1">
        <v>25.558274000000001</v>
      </c>
      <c r="CD17" s="1">
        <v>74.441726000000003</v>
      </c>
    </row>
    <row r="18" spans="1:82" x14ac:dyDescent="0.4">
      <c r="A18">
        <v>6</v>
      </c>
      <c r="B18" t="s">
        <v>47</v>
      </c>
      <c r="C18">
        <v>2</v>
      </c>
      <c r="D18" s="1">
        <v>5</v>
      </c>
      <c r="E18" s="1">
        <v>5</v>
      </c>
      <c r="F18" s="1">
        <v>3</v>
      </c>
      <c r="J18">
        <v>167.62540245441201</v>
      </c>
      <c r="K18">
        <v>12.987678735378299</v>
      </c>
      <c r="L18">
        <v>6.6677266428722</v>
      </c>
      <c r="M18">
        <v>2.9814974601964601</v>
      </c>
      <c r="N18">
        <v>2.3464513754505001</v>
      </c>
      <c r="O18">
        <v>1.43857814975761</v>
      </c>
      <c r="Q18">
        <v>658.78101612636203</v>
      </c>
      <c r="R18">
        <v>11.8651252865342</v>
      </c>
      <c r="S18">
        <v>6.7228195840088496</v>
      </c>
      <c r="T18">
        <v>2.9103496603016499</v>
      </c>
      <c r="U18">
        <v>2.4243163199973998</v>
      </c>
      <c r="V18">
        <v>1.7203354439188701</v>
      </c>
      <c r="X18">
        <f t="shared" si="8"/>
        <v>0.59440124219303625</v>
      </c>
      <c r="Y18">
        <f t="shared" si="9"/>
        <v>-3.9259208940729762E-2</v>
      </c>
      <c r="Z18">
        <f t="shared" si="10"/>
        <v>3.5736698010425672E-3</v>
      </c>
      <c r="AA18">
        <f t="shared" si="11"/>
        <v>-1.0489273840788849E-2</v>
      </c>
      <c r="AB18">
        <f t="shared" si="12"/>
        <v>1.4177726140898739E-2</v>
      </c>
      <c r="AC18">
        <f t="shared" si="13"/>
        <v>7.7679677549858772E-2</v>
      </c>
      <c r="AF18">
        <v>0.87578942182283304</v>
      </c>
      <c r="AG18">
        <v>6.7856491223465598E-2</v>
      </c>
      <c r="AH18">
        <v>3.4836751327245202E-2</v>
      </c>
      <c r="AI18">
        <v>1.55773760933511E-2</v>
      </c>
      <c r="AJ18">
        <v>1.2259462249464699E-2</v>
      </c>
      <c r="AK18">
        <v>7.5161133549900196E-3</v>
      </c>
      <c r="AM18">
        <v>0.96620725335319702</v>
      </c>
      <c r="AN18">
        <v>1.7402095435601901E-2</v>
      </c>
      <c r="AO18">
        <v>9.8600853486165603E-3</v>
      </c>
      <c r="AP18">
        <v>4.2684911719406502E-3</v>
      </c>
      <c r="AQ18">
        <v>3.5556458906137E-3</v>
      </c>
      <c r="AR18">
        <v>2.52314584577552E-3</v>
      </c>
      <c r="AT18">
        <f t="shared" si="2"/>
        <v>0.92099833758801508</v>
      </c>
      <c r="AU18">
        <f t="shared" si="3"/>
        <v>4.2629293329533746E-2</v>
      </c>
      <c r="AV18">
        <f t="shared" si="4"/>
        <v>2.234841833793088E-2</v>
      </c>
      <c r="AW18">
        <f t="shared" si="5"/>
        <v>9.922933632645875E-3</v>
      </c>
      <c r="AX18">
        <f t="shared" si="6"/>
        <v>7.9075540700391991E-3</v>
      </c>
      <c r="AY18">
        <f t="shared" si="7"/>
        <v>5.0196296003827698E-3</v>
      </c>
      <c r="BF18" s="1"/>
      <c r="BH18" s="1">
        <v>92.571584000000001</v>
      </c>
      <c r="BI18" s="1">
        <v>648.14705900000001</v>
      </c>
      <c r="BJ18" s="1">
        <v>26.702756000000001</v>
      </c>
      <c r="BK18" s="1">
        <v>10.83159</v>
      </c>
      <c r="BL18" s="1">
        <v>18.421002999999999</v>
      </c>
      <c r="BM18" s="1">
        <v>0.24166699999999999</v>
      </c>
      <c r="BN18" s="1">
        <v>8.3330000000000001E-3</v>
      </c>
      <c r="BO18" s="1">
        <v>16</v>
      </c>
      <c r="BP18" s="1">
        <v>12.581975999999999</v>
      </c>
      <c r="BQ18" s="1">
        <v>33.540323999999998</v>
      </c>
      <c r="BR18" s="1">
        <v>1325.76322</v>
      </c>
      <c r="BS18" s="1">
        <v>0.37513000000000002</v>
      </c>
      <c r="BT18" s="1">
        <v>0.23333300000000001</v>
      </c>
      <c r="BU18" s="1">
        <v>365.98292900000001</v>
      </c>
      <c r="BV18" s="1">
        <v>110.50142700000001</v>
      </c>
      <c r="BW18" s="1">
        <v>294.66443400000003</v>
      </c>
      <c r="BX18" s="1">
        <v>0.37500800000000001</v>
      </c>
      <c r="BY18" s="1">
        <v>771.14878999999996</v>
      </c>
      <c r="BZ18" s="1">
        <v>47.459443999999998</v>
      </c>
      <c r="CA18" s="1">
        <v>14.329456</v>
      </c>
      <c r="CB18" s="1">
        <v>38.211100000000002</v>
      </c>
      <c r="CC18" s="1">
        <v>27.273133999999999</v>
      </c>
      <c r="CD18" s="1">
        <v>72.726866000000001</v>
      </c>
    </row>
    <row r="19" spans="1:82" x14ac:dyDescent="0.4">
      <c r="A19">
        <v>6</v>
      </c>
      <c r="B19" t="s">
        <v>48</v>
      </c>
      <c r="C19">
        <v>3</v>
      </c>
      <c r="D19" s="1">
        <v>4</v>
      </c>
      <c r="E19" s="1">
        <v>6</v>
      </c>
      <c r="F19" s="1">
        <v>3</v>
      </c>
      <c r="J19">
        <v>669.40787176074195</v>
      </c>
      <c r="K19">
        <v>28.5486418337684</v>
      </c>
      <c r="L19">
        <v>18.464205512469501</v>
      </c>
      <c r="M19">
        <v>4.7097580287297696</v>
      </c>
      <c r="N19">
        <v>3.2219862873151599</v>
      </c>
      <c r="O19">
        <v>1.9732398573947501</v>
      </c>
      <c r="Q19">
        <v>604.03014554845799</v>
      </c>
      <c r="R19">
        <v>28.394723653809201</v>
      </c>
      <c r="S19">
        <v>17.5901723192028</v>
      </c>
      <c r="T19">
        <v>4.3511286417551904</v>
      </c>
      <c r="U19">
        <v>3.4251368781064402</v>
      </c>
      <c r="V19">
        <v>2.4154743046778102</v>
      </c>
      <c r="X19">
        <f t="shared" si="8"/>
        <v>-4.4632201394179116E-2</v>
      </c>
      <c r="Y19">
        <f t="shared" si="9"/>
        <v>-2.3478056994445939E-3</v>
      </c>
      <c r="Z19">
        <f t="shared" si="10"/>
        <v>-2.1060531365914237E-2</v>
      </c>
      <c r="AA19">
        <f t="shared" si="11"/>
        <v>-3.4396671673469048E-2</v>
      </c>
      <c r="AB19">
        <f t="shared" si="12"/>
        <v>2.6554244062862553E-2</v>
      </c>
      <c r="AC19">
        <f t="shared" si="13"/>
        <v>8.782254273517115E-2</v>
      </c>
      <c r="AF19">
        <v>0.92983060746867796</v>
      </c>
      <c r="AG19">
        <v>3.9655047540561997E-2</v>
      </c>
      <c r="AH19">
        <v>2.56474178932607E-2</v>
      </c>
      <c r="AI19">
        <v>6.5420162409585703E-3</v>
      </c>
      <c r="AJ19">
        <v>4.4754500106338703E-3</v>
      </c>
      <c r="AK19">
        <v>2.7408981768570402E-3</v>
      </c>
      <c r="AM19">
        <v>0.92500421796550103</v>
      </c>
      <c r="AN19">
        <v>4.34833250315503E-2</v>
      </c>
      <c r="AO19">
        <v>2.69373701129247E-2</v>
      </c>
      <c r="AP19">
        <v>6.66326403772369E-3</v>
      </c>
      <c r="AQ19">
        <v>5.2452118204810204E-3</v>
      </c>
      <c r="AR19">
        <v>3.6990271705487402E-3</v>
      </c>
      <c r="AT19">
        <f t="shared" si="2"/>
        <v>0.92741741271708955</v>
      </c>
      <c r="AU19">
        <f t="shared" si="3"/>
        <v>4.1569186286056145E-2</v>
      </c>
      <c r="AV19">
        <f t="shared" si="4"/>
        <v>2.62923940030927E-2</v>
      </c>
      <c r="AW19">
        <f t="shared" si="5"/>
        <v>6.6026401393411305E-3</v>
      </c>
      <c r="AX19">
        <f t="shared" si="6"/>
        <v>4.8603309155574453E-3</v>
      </c>
      <c r="AY19">
        <f t="shared" si="7"/>
        <v>3.2199626737028902E-3</v>
      </c>
      <c r="BF19" s="1"/>
      <c r="BH19" s="1">
        <v>94.960877999999994</v>
      </c>
      <c r="BI19" s="1">
        <v>631.83914200000004</v>
      </c>
      <c r="BJ19" s="1">
        <v>82.402632999999994</v>
      </c>
      <c r="BK19" s="1">
        <v>33.560893999999998</v>
      </c>
      <c r="BL19" s="1">
        <v>44.177531999999999</v>
      </c>
      <c r="BM19" s="1">
        <v>0.469136</v>
      </c>
      <c r="BN19" s="1">
        <v>0.12963</v>
      </c>
      <c r="BO19" s="1">
        <v>28</v>
      </c>
      <c r="BP19" s="1">
        <v>31.236377000000001</v>
      </c>
      <c r="BQ19" s="1">
        <v>92.204858999999999</v>
      </c>
      <c r="BR19" s="1">
        <v>9048.2446450000007</v>
      </c>
      <c r="BS19" s="1">
        <v>0.33877099999999999</v>
      </c>
      <c r="BT19" s="1">
        <v>0.13333300000000001</v>
      </c>
      <c r="BU19" s="1">
        <v>3624.8888379999999</v>
      </c>
      <c r="BV19" s="1">
        <v>341.76423</v>
      </c>
      <c r="BW19" s="1">
        <v>456.59450800000002</v>
      </c>
      <c r="BX19" s="1">
        <v>0.74850700000000003</v>
      </c>
      <c r="BY19" s="1">
        <v>4423.2475759999998</v>
      </c>
      <c r="BZ19" s="1">
        <v>81.950846999999996</v>
      </c>
      <c r="CA19" s="1">
        <v>7.7265449999999998</v>
      </c>
      <c r="CB19" s="1">
        <v>10.322608000000001</v>
      </c>
      <c r="CC19" s="1">
        <v>42.808352999999997</v>
      </c>
      <c r="CD19" s="1">
        <v>57.191647000000003</v>
      </c>
    </row>
    <row r="20" spans="1:82" x14ac:dyDescent="0.4">
      <c r="A20">
        <v>7</v>
      </c>
      <c r="B20" t="s">
        <v>49</v>
      </c>
      <c r="C20">
        <v>1</v>
      </c>
      <c r="D20" s="1">
        <v>4</v>
      </c>
      <c r="E20" s="1">
        <v>10</v>
      </c>
      <c r="F20" s="1">
        <v>25</v>
      </c>
      <c r="G20" s="1" t="s">
        <v>110</v>
      </c>
      <c r="J20">
        <v>421.59452156589498</v>
      </c>
      <c r="K20">
        <v>86.329510267553601</v>
      </c>
      <c r="L20">
        <v>49.6498329005709</v>
      </c>
      <c r="M20">
        <v>37.973303764483099</v>
      </c>
      <c r="N20">
        <v>38.283660517639099</v>
      </c>
      <c r="O20">
        <v>21.025377647865501</v>
      </c>
      <c r="Q20">
        <v>566.286769924277</v>
      </c>
      <c r="R20">
        <v>65.552061419949496</v>
      </c>
      <c r="S20">
        <v>53.956494514604699</v>
      </c>
      <c r="T20">
        <v>32.336370042878897</v>
      </c>
      <c r="U20">
        <v>33.762365671083998</v>
      </c>
      <c r="V20">
        <v>21.670041892168399</v>
      </c>
      <c r="X20">
        <f t="shared" si="8"/>
        <v>0.1281414566093293</v>
      </c>
      <c r="Y20">
        <f t="shared" si="9"/>
        <v>-0.11957292371259531</v>
      </c>
      <c r="Z20">
        <f t="shared" si="10"/>
        <v>3.6125935161392064E-2</v>
      </c>
      <c r="AA20">
        <f t="shared" si="11"/>
        <v>-6.9787117328694581E-2</v>
      </c>
      <c r="AB20">
        <f t="shared" si="12"/>
        <v>-5.4580587156031868E-2</v>
      </c>
      <c r="AC20">
        <f t="shared" si="13"/>
        <v>1.3115945759978098E-2</v>
      </c>
      <c r="AF20">
        <v>0.667814005959389</v>
      </c>
      <c r="AG20">
        <v>0.136747640529471</v>
      </c>
      <c r="AH20">
        <v>7.8646310870911396E-2</v>
      </c>
      <c r="AI20">
        <v>6.0150459290322103E-2</v>
      </c>
      <c r="AJ20">
        <v>6.06420704854388E-2</v>
      </c>
      <c r="AK20">
        <v>3.3304611316291699E-2</v>
      </c>
      <c r="AM20">
        <v>0.75551806471087002</v>
      </c>
      <c r="AN20">
        <v>8.74570433429529E-2</v>
      </c>
      <c r="AO20">
        <v>7.1986683213008607E-2</v>
      </c>
      <c r="AP20">
        <v>4.3141943291094803E-2</v>
      </c>
      <c r="AQ20">
        <v>4.5044451904269298E-2</v>
      </c>
      <c r="AR20">
        <v>2.8911337827588299E-2</v>
      </c>
      <c r="AT20">
        <f t="shared" si="2"/>
        <v>0.71166603533512951</v>
      </c>
      <c r="AU20">
        <f t="shared" si="3"/>
        <v>0.11210234193621195</v>
      </c>
      <c r="AV20">
        <f t="shared" si="4"/>
        <v>7.5316497041960001E-2</v>
      </c>
      <c r="AW20">
        <f t="shared" si="5"/>
        <v>5.1646201290708453E-2</v>
      </c>
      <c r="AX20">
        <f t="shared" si="6"/>
        <v>5.2843261194854052E-2</v>
      </c>
      <c r="AY20">
        <f t="shared" si="7"/>
        <v>3.1107974571939999E-2</v>
      </c>
      <c r="BF20" s="1"/>
      <c r="BH20" s="1">
        <v>116.769307</v>
      </c>
      <c r="BI20" s="1">
        <v>513.83365600000002</v>
      </c>
      <c r="BJ20" s="1">
        <v>185.42450500000001</v>
      </c>
      <c r="BK20" s="1">
        <v>142.50339299999999</v>
      </c>
      <c r="BL20" s="1">
        <v>195.888068</v>
      </c>
      <c r="BM20" s="1">
        <v>0.724638</v>
      </c>
      <c r="BN20" s="1">
        <v>0.57246399999999997</v>
      </c>
      <c r="BO20" s="1">
        <v>64</v>
      </c>
      <c r="BP20" s="1">
        <v>138.03115500000001</v>
      </c>
      <c r="BQ20" s="1">
        <v>218.79383000000001</v>
      </c>
      <c r="BR20" s="1">
        <v>94877.245337999993</v>
      </c>
      <c r="BS20" s="1">
        <v>0.63087300000000002</v>
      </c>
      <c r="BT20" s="1">
        <v>0.13333300000000001</v>
      </c>
      <c r="BU20" s="1">
        <v>3028.060935</v>
      </c>
      <c r="BV20" s="1">
        <v>4248.2282660000001</v>
      </c>
      <c r="BW20" s="1">
        <v>6815.2988750000004</v>
      </c>
      <c r="BX20" s="1">
        <v>0.62333700000000003</v>
      </c>
      <c r="BY20" s="1">
        <v>14091.588076</v>
      </c>
      <c r="BZ20" s="1">
        <v>21.488429</v>
      </c>
      <c r="CA20" s="1">
        <v>30.147264</v>
      </c>
      <c r="CB20" s="1">
        <v>48.364306999999997</v>
      </c>
      <c r="CC20" s="1">
        <v>38.398497999999996</v>
      </c>
      <c r="CD20" s="1">
        <v>61.601502000000004</v>
      </c>
    </row>
    <row r="21" spans="1:82" x14ac:dyDescent="0.4">
      <c r="A21">
        <v>7</v>
      </c>
      <c r="B21" t="s">
        <v>50</v>
      </c>
      <c r="C21">
        <v>2</v>
      </c>
      <c r="D21" s="1">
        <v>4</v>
      </c>
      <c r="E21" s="1">
        <v>7</v>
      </c>
      <c r="F21" s="1">
        <v>25</v>
      </c>
      <c r="J21">
        <v>494.797018078473</v>
      </c>
      <c r="K21">
        <v>17.656461293764799</v>
      </c>
      <c r="L21">
        <v>19.824663616764699</v>
      </c>
      <c r="M21">
        <v>4.9403566392945102</v>
      </c>
      <c r="N21">
        <v>4.4982345483814496</v>
      </c>
      <c r="O21">
        <v>2.8136324255379499</v>
      </c>
      <c r="Q21">
        <v>642.47243508352597</v>
      </c>
      <c r="R21">
        <v>18.046938831854099</v>
      </c>
      <c r="S21">
        <v>20.0659834266392</v>
      </c>
      <c r="T21">
        <v>6.1863579948344203</v>
      </c>
      <c r="U21">
        <v>5.1214209161315196</v>
      </c>
      <c r="V21">
        <v>3.5736205037535602</v>
      </c>
      <c r="X21">
        <f t="shared" si="8"/>
        <v>0.11342742557859964</v>
      </c>
      <c r="Y21">
        <f t="shared" si="9"/>
        <v>9.4998796370653338E-3</v>
      </c>
      <c r="Z21">
        <f t="shared" si="10"/>
        <v>5.2546222283025301E-3</v>
      </c>
      <c r="AA21">
        <f t="shared" si="11"/>
        <v>9.767674700496487E-2</v>
      </c>
      <c r="AB21">
        <f t="shared" si="12"/>
        <v>5.6348374012363922E-2</v>
      </c>
      <c r="AC21">
        <f t="shared" si="13"/>
        <v>0.10384107090998596</v>
      </c>
      <c r="AF21">
        <v>0.91753991142067703</v>
      </c>
      <c r="AG21">
        <v>3.2741725070206798E-2</v>
      </c>
      <c r="AH21">
        <v>3.6762388280978199E-2</v>
      </c>
      <c r="AI21">
        <v>9.1612807425729501E-3</v>
      </c>
      <c r="AJ21">
        <v>8.3414199727791394E-3</v>
      </c>
      <c r="AK21">
        <v>5.2175335585571301E-3</v>
      </c>
      <c r="AM21">
        <v>0.931779092904652</v>
      </c>
      <c r="AN21">
        <v>2.6173512474919801E-2</v>
      </c>
      <c r="AO21">
        <v>2.9101736999942899E-2</v>
      </c>
      <c r="AP21">
        <v>8.9720877130874104E-3</v>
      </c>
      <c r="AQ21">
        <v>7.4276072793621802E-3</v>
      </c>
      <c r="AR21">
        <v>5.1828291605071899E-3</v>
      </c>
      <c r="AT21">
        <f t="shared" si="2"/>
        <v>0.92465950216266446</v>
      </c>
      <c r="AU21">
        <f t="shared" si="3"/>
        <v>2.9457618772563299E-2</v>
      </c>
      <c r="AV21">
        <f t="shared" si="4"/>
        <v>3.2932062640460551E-2</v>
      </c>
      <c r="AW21">
        <f t="shared" si="5"/>
        <v>9.0666842278301803E-3</v>
      </c>
      <c r="AX21">
        <f t="shared" si="6"/>
        <v>7.8845136260706598E-3</v>
      </c>
      <c r="AY21">
        <f t="shared" si="7"/>
        <v>5.20018135953216E-3</v>
      </c>
      <c r="BF21" s="1"/>
      <c r="BH21" s="1">
        <v>89.612206999999998</v>
      </c>
      <c r="BI21" s="1">
        <v>669.55163700000003</v>
      </c>
      <c r="BJ21" s="1">
        <v>43.129125000000002</v>
      </c>
      <c r="BK21" s="1">
        <v>30.646571000000002</v>
      </c>
      <c r="BL21" s="1">
        <v>46.123863</v>
      </c>
      <c r="BM21" s="1">
        <v>0.52691200000000005</v>
      </c>
      <c r="BN21" s="1">
        <v>0.26062299999999999</v>
      </c>
      <c r="BO21" s="1">
        <v>20</v>
      </c>
      <c r="BP21" s="1">
        <v>32.597859</v>
      </c>
      <c r="BQ21" s="1">
        <v>49.568627999999997</v>
      </c>
      <c r="BR21" s="1">
        <v>5076.2831699999997</v>
      </c>
      <c r="BS21" s="1">
        <v>0.65763099999999997</v>
      </c>
      <c r="BT21" s="1">
        <v>0.26666699999999999</v>
      </c>
      <c r="BU21" s="1">
        <v>179.077856</v>
      </c>
      <c r="BV21" s="1">
        <v>120.76964099999999</v>
      </c>
      <c r="BW21" s="1">
        <v>208.19618800000001</v>
      </c>
      <c r="BX21" s="1">
        <v>0.58007600000000004</v>
      </c>
      <c r="BY21" s="1">
        <v>508.04368599999998</v>
      </c>
      <c r="BZ21" s="1">
        <v>35.248514999999998</v>
      </c>
      <c r="CA21" s="1">
        <v>23.771507</v>
      </c>
      <c r="CB21" s="1">
        <v>40.979978000000003</v>
      </c>
      <c r="CC21" s="1">
        <v>36.711911000000001</v>
      </c>
      <c r="CD21" s="1">
        <v>63.288088999999999</v>
      </c>
    </row>
    <row r="22" spans="1:82" x14ac:dyDescent="0.4">
      <c r="A22">
        <v>7</v>
      </c>
      <c r="B22" t="s">
        <v>51</v>
      </c>
      <c r="C22">
        <v>3</v>
      </c>
      <c r="D22" s="1">
        <v>6</v>
      </c>
      <c r="E22" s="1">
        <v>9</v>
      </c>
      <c r="F22" s="1">
        <v>25</v>
      </c>
      <c r="J22">
        <v>272.13089683737797</v>
      </c>
      <c r="K22">
        <v>13.6711222983445</v>
      </c>
      <c r="L22">
        <v>25.416397094185999</v>
      </c>
      <c r="M22">
        <v>2.7020637198986499</v>
      </c>
      <c r="N22">
        <v>2.2212892841815801</v>
      </c>
      <c r="O22">
        <v>1.2523031896552601</v>
      </c>
      <c r="Q22">
        <v>462.93792342260701</v>
      </c>
      <c r="R22">
        <v>13.197044840856099</v>
      </c>
      <c r="S22">
        <v>24.7826639288105</v>
      </c>
      <c r="T22">
        <v>2.9071962864871099</v>
      </c>
      <c r="U22">
        <v>2.5864540983228301</v>
      </c>
      <c r="V22">
        <v>1.5098486703891001</v>
      </c>
      <c r="X22">
        <f t="shared" si="8"/>
        <v>0.23074490628908917</v>
      </c>
      <c r="Y22">
        <f t="shared" si="9"/>
        <v>-1.5327476063489165E-2</v>
      </c>
      <c r="Z22">
        <f t="shared" si="10"/>
        <v>-1.0965999522126291E-2</v>
      </c>
      <c r="AA22">
        <f t="shared" si="11"/>
        <v>3.1778768905161181E-2</v>
      </c>
      <c r="AB22">
        <f t="shared" si="12"/>
        <v>6.6099653897840949E-2</v>
      </c>
      <c r="AC22">
        <f t="shared" si="13"/>
        <v>8.1223934119119948E-2</v>
      </c>
      <c r="AF22">
        <v>0.86929889213908196</v>
      </c>
      <c r="AG22">
        <v>4.3671231772519602E-2</v>
      </c>
      <c r="AH22">
        <v>8.1190508291846999E-2</v>
      </c>
      <c r="AI22">
        <v>8.6315116199421303E-3</v>
      </c>
      <c r="AJ22">
        <v>7.0957187746798897E-3</v>
      </c>
      <c r="AK22">
        <v>4.0003755106135901E-3</v>
      </c>
      <c r="AM22">
        <v>0.91906548300214996</v>
      </c>
      <c r="AN22">
        <v>2.61999455589862E-2</v>
      </c>
      <c r="AO22">
        <v>4.9200745588992699E-2</v>
      </c>
      <c r="AP22">
        <v>5.7716242805694803E-3</v>
      </c>
      <c r="AQ22">
        <v>5.1348584008053698E-3</v>
      </c>
      <c r="AR22">
        <v>2.9974856828580798E-3</v>
      </c>
      <c r="AT22">
        <f t="shared" si="2"/>
        <v>0.89418218757061596</v>
      </c>
      <c r="AU22">
        <f t="shared" si="3"/>
        <v>3.4935588665752901E-2</v>
      </c>
      <c r="AV22">
        <f t="shared" si="4"/>
        <v>6.5195626940419846E-2</v>
      </c>
      <c r="AW22">
        <f t="shared" si="5"/>
        <v>7.2015679502558053E-3</v>
      </c>
      <c r="AX22">
        <f t="shared" si="6"/>
        <v>6.1152885877426297E-3</v>
      </c>
      <c r="AY22">
        <f t="shared" si="7"/>
        <v>3.4989305967358351E-3</v>
      </c>
      <c r="BF22" s="1"/>
      <c r="BH22" s="1">
        <v>85.330776999999998</v>
      </c>
      <c r="BI22" s="1">
        <v>703.14606700000002</v>
      </c>
      <c r="BJ22" s="1">
        <v>94.694250999999994</v>
      </c>
      <c r="BK22" s="1">
        <v>51.035601</v>
      </c>
      <c r="BL22" s="1">
        <v>69.548865000000006</v>
      </c>
      <c r="BM22" s="1">
        <v>0.64968199999999998</v>
      </c>
      <c r="BN22" s="1">
        <v>0.33121</v>
      </c>
      <c r="BO22" s="1">
        <v>52</v>
      </c>
      <c r="BP22" s="1">
        <v>49.108567000000001</v>
      </c>
      <c r="BQ22" s="1">
        <v>114.40624</v>
      </c>
      <c r="BR22" s="1">
        <v>17650.493256000002</v>
      </c>
      <c r="BS22" s="1">
        <v>0.42924699999999999</v>
      </c>
      <c r="BT22" s="1">
        <v>0.13333300000000001</v>
      </c>
      <c r="BU22" s="1">
        <v>1209.9642120000001</v>
      </c>
      <c r="BV22" s="1">
        <v>3537.658762</v>
      </c>
      <c r="BW22" s="1">
        <v>1319.8792309999999</v>
      </c>
      <c r="BX22" s="1">
        <v>2.6802899999999998</v>
      </c>
      <c r="BY22" s="1">
        <v>6067.5022040000003</v>
      </c>
      <c r="BZ22" s="1">
        <v>19.941718999999999</v>
      </c>
      <c r="CA22" s="1">
        <v>58.305025999999998</v>
      </c>
      <c r="CB22" s="1">
        <v>21.753254999999999</v>
      </c>
      <c r="CC22" s="1">
        <v>72.828226000000001</v>
      </c>
      <c r="CD22" s="1">
        <v>27.171773999999999</v>
      </c>
    </row>
    <row r="23" spans="1:82" x14ac:dyDescent="0.4">
      <c r="A23">
        <v>8</v>
      </c>
      <c r="B23" t="s">
        <v>52</v>
      </c>
      <c r="C23">
        <v>1</v>
      </c>
      <c r="D23" s="1">
        <v>5</v>
      </c>
      <c r="E23" s="1">
        <v>9</v>
      </c>
      <c r="F23" s="1">
        <v>5</v>
      </c>
      <c r="G23" s="1" t="s">
        <v>110</v>
      </c>
      <c r="J23">
        <v>480.461534728424</v>
      </c>
      <c r="K23">
        <v>85.343339359861204</v>
      </c>
      <c r="L23">
        <v>52.229700778960101</v>
      </c>
      <c r="M23">
        <v>40.283827057787001</v>
      </c>
      <c r="N23">
        <v>46.516145468386199</v>
      </c>
      <c r="O23">
        <v>24.44438553662</v>
      </c>
      <c r="Q23">
        <v>399.10984140294499</v>
      </c>
      <c r="R23">
        <v>125.94417816550499</v>
      </c>
      <c r="S23">
        <v>80.578254572913295</v>
      </c>
      <c r="T23">
        <v>59.863315296959499</v>
      </c>
      <c r="U23">
        <v>62.921085326355502</v>
      </c>
      <c r="V23">
        <v>42.140246859531501</v>
      </c>
      <c r="X23">
        <f t="shared" si="8"/>
        <v>-8.0566187297628655E-2</v>
      </c>
      <c r="Y23">
        <f t="shared" si="9"/>
        <v>0.16900846464933528</v>
      </c>
      <c r="Z23">
        <f t="shared" si="10"/>
        <v>0.18830031799023672</v>
      </c>
      <c r="AA23">
        <f t="shared" si="11"/>
        <v>0.17203004204840444</v>
      </c>
      <c r="AB23">
        <f t="shared" si="12"/>
        <v>0.13119248516136972</v>
      </c>
      <c r="AC23">
        <f t="shared" si="13"/>
        <v>0.23651795060655179</v>
      </c>
      <c r="AF23">
        <v>0.68244221114746595</v>
      </c>
      <c r="AG23">
        <v>0.121220728423916</v>
      </c>
      <c r="AH23">
        <v>7.4186485099814001E-2</v>
      </c>
      <c r="AI23">
        <v>5.7218699154215298E-2</v>
      </c>
      <c r="AJ23">
        <v>6.6071014790905006E-2</v>
      </c>
      <c r="AK23">
        <v>3.4720532883410399E-2</v>
      </c>
      <c r="AM23">
        <v>0.54604715974928297</v>
      </c>
      <c r="AN23">
        <v>0.17231211471129601</v>
      </c>
      <c r="AO23">
        <v>0.110244154572655</v>
      </c>
      <c r="AP23">
        <v>8.1902749318772797E-2</v>
      </c>
      <c r="AQ23">
        <v>8.6086275923501099E-2</v>
      </c>
      <c r="AR23">
        <v>5.7654709861060797E-2</v>
      </c>
      <c r="AT23">
        <f t="shared" si="2"/>
        <v>0.61424468544837452</v>
      </c>
      <c r="AU23">
        <f t="shared" si="3"/>
        <v>0.146766421567606</v>
      </c>
      <c r="AV23">
        <f t="shared" si="4"/>
        <v>9.2215319836234502E-2</v>
      </c>
      <c r="AW23">
        <f t="shared" si="5"/>
        <v>6.9560724236494051E-2</v>
      </c>
      <c r="AX23">
        <f t="shared" si="6"/>
        <v>7.6078645357203045E-2</v>
      </c>
      <c r="AY23">
        <f t="shared" si="7"/>
        <v>4.6187621372235602E-2</v>
      </c>
      <c r="BF23" s="1"/>
      <c r="BH23" s="1">
        <v>65.162880000000001</v>
      </c>
      <c r="BI23" s="1">
        <v>920.76962000000003</v>
      </c>
      <c r="BJ23" s="1">
        <v>30.866886000000001</v>
      </c>
      <c r="BK23" s="1">
        <v>19.300601</v>
      </c>
      <c r="BL23" s="1">
        <v>33.574223000000003</v>
      </c>
      <c r="BM23" s="1">
        <v>0.55837599999999998</v>
      </c>
      <c r="BN23" s="1">
        <v>0.129442</v>
      </c>
      <c r="BO23" s="1">
        <v>20</v>
      </c>
      <c r="BP23" s="1">
        <v>23.740283000000002</v>
      </c>
      <c r="BQ23" s="1">
        <v>36.626497999999998</v>
      </c>
      <c r="BR23" s="1">
        <v>2731.6883910000001</v>
      </c>
      <c r="BS23" s="1">
        <v>0.64817199999999997</v>
      </c>
      <c r="BT23" s="1">
        <v>0.30244700000000002</v>
      </c>
      <c r="BU23" s="1">
        <v>238.57771199999999</v>
      </c>
      <c r="BV23" s="1">
        <v>255.13664600000001</v>
      </c>
      <c r="BW23" s="1">
        <v>340.112233</v>
      </c>
      <c r="BX23" s="1">
        <v>0.75015399999999999</v>
      </c>
      <c r="BY23" s="1">
        <v>833.82659200000001</v>
      </c>
      <c r="BZ23" s="1">
        <v>28.612389</v>
      </c>
      <c r="CA23" s="1">
        <v>30.598286000000002</v>
      </c>
      <c r="CB23" s="1">
        <v>40.789324000000001</v>
      </c>
      <c r="CC23" s="1">
        <v>42.862180000000002</v>
      </c>
      <c r="CD23" s="1">
        <v>57.137819999999998</v>
      </c>
    </row>
    <row r="24" spans="1:82" x14ac:dyDescent="0.4">
      <c r="A24">
        <v>8</v>
      </c>
      <c r="B24" t="s">
        <v>53</v>
      </c>
      <c r="C24">
        <v>2</v>
      </c>
      <c r="D24" s="1">
        <v>5</v>
      </c>
      <c r="E24" s="1">
        <v>6</v>
      </c>
      <c r="F24" s="1">
        <v>5</v>
      </c>
      <c r="J24">
        <v>550.59035126319702</v>
      </c>
      <c r="K24">
        <v>57.4580435341353</v>
      </c>
      <c r="L24">
        <v>41.667877155415802</v>
      </c>
      <c r="M24">
        <v>25.085976744767901</v>
      </c>
      <c r="N24">
        <v>28.053759228347499</v>
      </c>
      <c r="O24">
        <v>15.774882014896299</v>
      </c>
      <c r="Q24">
        <v>575.17721111677702</v>
      </c>
      <c r="R24">
        <v>70.252891101884202</v>
      </c>
      <c r="S24">
        <v>39.526154008709803</v>
      </c>
      <c r="T24">
        <v>28.0099098881951</v>
      </c>
      <c r="U24">
        <v>33.621576851748401</v>
      </c>
      <c r="V24">
        <v>22.147406074566799</v>
      </c>
      <c r="X24">
        <f t="shared" si="8"/>
        <v>1.8973074298443748E-2</v>
      </c>
      <c r="Y24">
        <f t="shared" si="9"/>
        <v>8.7313367337517489E-2</v>
      </c>
      <c r="Z24">
        <f t="shared" si="10"/>
        <v>-2.2916816625849767E-2</v>
      </c>
      <c r="AA24">
        <f t="shared" si="11"/>
        <v>4.7880696305557358E-2</v>
      </c>
      <c r="AB24">
        <f t="shared" si="12"/>
        <v>7.8627012656400375E-2</v>
      </c>
      <c r="AC24">
        <f t="shared" si="13"/>
        <v>0.14735674884262306</v>
      </c>
      <c r="AF24">
        <v>0.78827551960995101</v>
      </c>
      <c r="AG24">
        <v>8.2262191879549501E-2</v>
      </c>
      <c r="AH24">
        <v>5.9655545071525998E-2</v>
      </c>
      <c r="AI24">
        <v>3.5915379388753998E-2</v>
      </c>
      <c r="AJ24">
        <v>4.0164328310517403E-2</v>
      </c>
      <c r="AK24">
        <v>2.2584764314429101E-2</v>
      </c>
      <c r="AM24">
        <v>0.77038861985122398</v>
      </c>
      <c r="AN24">
        <v>9.4096265934205503E-2</v>
      </c>
      <c r="AO24">
        <v>5.2941073892120202E-2</v>
      </c>
      <c r="AP24">
        <v>3.75162913339811E-2</v>
      </c>
      <c r="AQ24">
        <v>4.5032521607991198E-2</v>
      </c>
      <c r="AR24">
        <v>2.9664091812577099E-2</v>
      </c>
      <c r="AT24">
        <f t="shared" si="2"/>
        <v>0.77933206973058744</v>
      </c>
      <c r="AU24">
        <f t="shared" si="3"/>
        <v>8.8179228906877502E-2</v>
      </c>
      <c r="AV24">
        <f t="shared" si="4"/>
        <v>5.62983094818231E-2</v>
      </c>
      <c r="AW24">
        <f t="shared" si="5"/>
        <v>3.6715835361367549E-2</v>
      </c>
      <c r="AX24">
        <f t="shared" si="6"/>
        <v>4.2598424959254297E-2</v>
      </c>
      <c r="AY24">
        <f t="shared" si="7"/>
        <v>2.61244280635031E-2</v>
      </c>
      <c r="BF24" s="1"/>
      <c r="BH24" s="1">
        <v>63.847630000000002</v>
      </c>
      <c r="BI24" s="1">
        <v>939.73731299999997</v>
      </c>
      <c r="BJ24" s="1">
        <v>42.183143000000001</v>
      </c>
      <c r="BK24" s="1">
        <v>21.443404000000001</v>
      </c>
      <c r="BL24" s="1">
        <v>36.720011999999997</v>
      </c>
      <c r="BM24" s="1">
        <v>0.56886199999999998</v>
      </c>
      <c r="BN24" s="1">
        <v>0.173653</v>
      </c>
      <c r="BO24" s="1">
        <v>28</v>
      </c>
      <c r="BP24" s="1">
        <v>25.964238999999999</v>
      </c>
      <c r="BQ24" s="1">
        <v>53.573092000000003</v>
      </c>
      <c r="BR24" s="1">
        <v>4369.9068610000004</v>
      </c>
      <c r="BS24" s="1">
        <v>0.484651</v>
      </c>
      <c r="BT24" s="1">
        <v>0.12706100000000001</v>
      </c>
      <c r="BU24" s="1">
        <v>200.72145399999999</v>
      </c>
      <c r="BV24" s="1">
        <v>288.23789299999999</v>
      </c>
      <c r="BW24" s="1">
        <v>434.52285000000001</v>
      </c>
      <c r="BX24" s="1">
        <v>0.66334300000000002</v>
      </c>
      <c r="BY24" s="1">
        <v>923.48219700000004</v>
      </c>
      <c r="BZ24" s="1">
        <v>21.735281000000001</v>
      </c>
      <c r="CA24" s="1">
        <v>31.212067999999999</v>
      </c>
      <c r="CB24" s="1">
        <v>47.05265</v>
      </c>
      <c r="CC24" s="1">
        <v>39.880125999999997</v>
      </c>
      <c r="CD24" s="1">
        <v>60.119874000000003</v>
      </c>
    </row>
    <row r="25" spans="1:82" x14ac:dyDescent="0.4">
      <c r="A25">
        <v>8</v>
      </c>
      <c r="B25" t="s">
        <v>54</v>
      </c>
      <c r="C25">
        <v>3</v>
      </c>
      <c r="D25" s="1">
        <v>4</v>
      </c>
      <c r="E25" s="1">
        <v>7</v>
      </c>
      <c r="F25" s="1">
        <v>5</v>
      </c>
      <c r="J25">
        <v>526.35526610635202</v>
      </c>
      <c r="K25">
        <v>10.7377027736676</v>
      </c>
      <c r="L25">
        <v>10.4564372506429</v>
      </c>
      <c r="M25">
        <v>2.6761323167458699</v>
      </c>
      <c r="N25">
        <v>2.95450939896193</v>
      </c>
      <c r="O25">
        <v>1.86976001255951</v>
      </c>
      <c r="Q25">
        <v>459.73261891096797</v>
      </c>
      <c r="R25">
        <v>12.3932815872699</v>
      </c>
      <c r="S25">
        <v>9.8273828350124504</v>
      </c>
      <c r="T25">
        <v>2.3204610045962202</v>
      </c>
      <c r="U25">
        <v>3.1593785994184702</v>
      </c>
      <c r="V25">
        <v>2.3864258830834002</v>
      </c>
      <c r="X25">
        <f t="shared" si="8"/>
        <v>-5.8773653474805343E-2</v>
      </c>
      <c r="Y25">
        <f t="shared" si="9"/>
        <v>6.2274939145858577E-2</v>
      </c>
      <c r="Z25">
        <f t="shared" si="10"/>
        <v>-2.6945860852588543E-2</v>
      </c>
      <c r="AA25">
        <f t="shared" si="11"/>
        <v>-6.1933308081104699E-2</v>
      </c>
      <c r="AB25">
        <f t="shared" si="12"/>
        <v>2.9116296147864096E-2</v>
      </c>
      <c r="AC25">
        <f t="shared" si="13"/>
        <v>0.10596208317340156</v>
      </c>
      <c r="AF25">
        <v>0.95482223219391105</v>
      </c>
      <c r="AG25">
        <v>1.9478473934212499E-2</v>
      </c>
      <c r="AH25">
        <v>1.8968250912183598E-2</v>
      </c>
      <c r="AI25">
        <v>4.8545740811592004E-3</v>
      </c>
      <c r="AJ25">
        <v>5.3595573959446703E-3</v>
      </c>
      <c r="AK25">
        <v>3.3917936113101602E-3</v>
      </c>
      <c r="AM25">
        <v>0.94662604910377901</v>
      </c>
      <c r="AN25">
        <v>2.5518753079080199E-2</v>
      </c>
      <c r="AO25">
        <v>2.0235363347014802E-2</v>
      </c>
      <c r="AP25">
        <v>4.7780138770307703E-3</v>
      </c>
      <c r="AQ25">
        <v>6.50541196810254E-3</v>
      </c>
      <c r="AR25">
        <v>4.9138408114994397E-3</v>
      </c>
      <c r="AT25">
        <f t="shared" si="2"/>
        <v>0.95072414064884503</v>
      </c>
      <c r="AU25">
        <f t="shared" si="3"/>
        <v>2.2498613506646351E-2</v>
      </c>
      <c r="AV25">
        <f t="shared" si="4"/>
        <v>1.9601807129599198E-2</v>
      </c>
      <c r="AW25">
        <f t="shared" si="5"/>
        <v>4.8162939790949849E-3</v>
      </c>
      <c r="AX25">
        <f t="shared" si="6"/>
        <v>5.9324846820236051E-3</v>
      </c>
      <c r="AY25">
        <f t="shared" si="7"/>
        <v>4.1528172114047995E-3</v>
      </c>
      <c r="BF25" s="1"/>
      <c r="BH25" s="1">
        <v>69.149277999999995</v>
      </c>
      <c r="BI25" s="1">
        <v>867.68802200000005</v>
      </c>
      <c r="BJ25" s="1">
        <v>63.95814</v>
      </c>
      <c r="BK25" s="1">
        <v>23.890308999999998</v>
      </c>
      <c r="BL25" s="1">
        <v>37.379527000000003</v>
      </c>
      <c r="BM25" s="1">
        <v>0.51676</v>
      </c>
      <c r="BN25" s="1">
        <v>0.17877100000000001</v>
      </c>
      <c r="BO25" s="1">
        <v>48</v>
      </c>
      <c r="BP25" s="1">
        <v>26.431259000000001</v>
      </c>
      <c r="BQ25" s="1">
        <v>86.532683000000006</v>
      </c>
      <c r="BR25" s="1">
        <v>7185.3494730000002</v>
      </c>
      <c r="BS25" s="1">
        <v>0.305448</v>
      </c>
      <c r="BT25" s="1">
        <v>9.6308000000000005E-2</v>
      </c>
      <c r="BU25" s="1">
        <v>627.68372199999999</v>
      </c>
      <c r="BV25" s="1">
        <v>2922.5485359999998</v>
      </c>
      <c r="BW25" s="1">
        <v>381.17581100000001</v>
      </c>
      <c r="BX25" s="1">
        <v>7.6671930000000001</v>
      </c>
      <c r="BY25" s="1">
        <v>3931.4080690000001</v>
      </c>
      <c r="BZ25" s="1">
        <v>15.965876</v>
      </c>
      <c r="CA25" s="1">
        <v>74.338468000000006</v>
      </c>
      <c r="CB25" s="1">
        <v>9.6956559999999996</v>
      </c>
      <c r="CC25" s="1">
        <v>88.462238999999997</v>
      </c>
      <c r="CD25" s="1">
        <v>11.537761</v>
      </c>
    </row>
    <row r="26" spans="1:82" x14ac:dyDescent="0.4">
      <c r="A26">
        <v>9</v>
      </c>
      <c r="B26" t="s">
        <v>55</v>
      </c>
      <c r="C26">
        <v>1</v>
      </c>
      <c r="D26" s="1">
        <v>4</v>
      </c>
      <c r="E26" s="1">
        <v>8</v>
      </c>
      <c r="F26" s="1">
        <v>18</v>
      </c>
      <c r="G26" s="1" t="s">
        <v>110</v>
      </c>
      <c r="J26">
        <v>285.47057436142899</v>
      </c>
      <c r="K26">
        <v>28.1904289857622</v>
      </c>
      <c r="L26">
        <v>11.1213059012158</v>
      </c>
      <c r="M26">
        <v>6.2539783500725701</v>
      </c>
      <c r="N26">
        <v>6.6220887658976801</v>
      </c>
      <c r="O26">
        <v>6.7867677968308797</v>
      </c>
      <c r="Q26">
        <v>262.43013121908098</v>
      </c>
      <c r="R26">
        <v>25.631143997328401</v>
      </c>
      <c r="S26">
        <v>8.7453037537142304</v>
      </c>
      <c r="T26">
        <v>4.8421877262244299</v>
      </c>
      <c r="U26">
        <v>5.5750947395481401</v>
      </c>
      <c r="V26">
        <v>5.1410143892428604</v>
      </c>
      <c r="X26">
        <f t="shared" si="8"/>
        <v>-3.6547651240559809E-2</v>
      </c>
      <c r="Y26">
        <f t="shared" si="9"/>
        <v>-4.1333694241511232E-2</v>
      </c>
      <c r="Z26">
        <f t="shared" si="10"/>
        <v>-0.10438088798210476</v>
      </c>
      <c r="AA26">
        <f t="shared" si="11"/>
        <v>-0.11111475093006096</v>
      </c>
      <c r="AB26">
        <f t="shared" si="12"/>
        <v>-7.4742746060616261E-2</v>
      </c>
      <c r="AC26">
        <f t="shared" si="13"/>
        <v>-0.12061417102929717</v>
      </c>
      <c r="AF26">
        <v>0.85155955177394904</v>
      </c>
      <c r="AG26">
        <v>8.4092131474950593E-2</v>
      </c>
      <c r="AH26">
        <v>3.3174887778065598E-2</v>
      </c>
      <c r="AI26">
        <v>1.8655635567710299E-2</v>
      </c>
      <c r="AJ26">
        <v>1.9753710006396499E-2</v>
      </c>
      <c r="AK26">
        <v>2.0244948033579301E-2</v>
      </c>
      <c r="AM26">
        <v>0.86139853389800103</v>
      </c>
      <c r="AN26">
        <v>8.4131459138720693E-2</v>
      </c>
      <c r="AO26">
        <v>2.8705514099877798E-2</v>
      </c>
      <c r="AP26">
        <v>1.5893957713059102E-2</v>
      </c>
      <c r="AQ26">
        <v>1.8299645748300598E-2</v>
      </c>
      <c r="AR26">
        <v>1.6874823927688999E-2</v>
      </c>
      <c r="AT26">
        <f t="shared" si="2"/>
        <v>0.85647904283597498</v>
      </c>
      <c r="AU26">
        <f t="shared" si="3"/>
        <v>8.4111795306835643E-2</v>
      </c>
      <c r="AV26">
        <f t="shared" si="4"/>
        <v>3.09402009389717E-2</v>
      </c>
      <c r="AW26">
        <f t="shared" si="5"/>
        <v>1.7274796640384699E-2</v>
      </c>
      <c r="AX26">
        <f t="shared" si="6"/>
        <v>1.9026677877348547E-2</v>
      </c>
      <c r="AY26">
        <f t="shared" si="7"/>
        <v>1.8559885980634148E-2</v>
      </c>
      <c r="BF26" s="1"/>
      <c r="BH26" s="1">
        <v>150.172999</v>
      </c>
      <c r="BI26" s="1">
        <v>399.53919999999999</v>
      </c>
      <c r="BJ26" s="1">
        <v>187.283107</v>
      </c>
      <c r="BK26" s="1">
        <v>55.580181000000003</v>
      </c>
      <c r="BL26" s="1">
        <v>364.42935</v>
      </c>
      <c r="BM26" s="1">
        <v>0.99097500000000005</v>
      </c>
      <c r="BN26" s="1">
        <v>0.98736500000000005</v>
      </c>
      <c r="BO26" s="1">
        <v>76</v>
      </c>
      <c r="BP26" s="1">
        <v>257.65785099999999</v>
      </c>
      <c r="BQ26" s="1">
        <v>64.033270000000002</v>
      </c>
      <c r="BR26" s="1">
        <v>51832.115459000001</v>
      </c>
      <c r="BS26" s="1">
        <v>4.0238120000000004</v>
      </c>
      <c r="BT26" s="1">
        <v>0.16666700000000001</v>
      </c>
      <c r="BU26" s="1">
        <v>742.79024600000002</v>
      </c>
      <c r="BV26" s="1">
        <v>2002.5515780000001</v>
      </c>
      <c r="BW26" s="1">
        <v>3263.7770829999999</v>
      </c>
      <c r="BX26" s="1">
        <v>0.61356900000000003</v>
      </c>
      <c r="BY26" s="1">
        <v>6009.118907</v>
      </c>
      <c r="BZ26" s="1">
        <v>12.361051</v>
      </c>
      <c r="CA26" s="1">
        <v>33.325211000000003</v>
      </c>
      <c r="CB26" s="1">
        <v>54.313738000000001</v>
      </c>
      <c r="CC26" s="1">
        <v>38.025571999999997</v>
      </c>
      <c r="CD26" s="1">
        <v>61.974428000000003</v>
      </c>
    </row>
    <row r="27" spans="1:82" x14ac:dyDescent="0.4">
      <c r="A27">
        <v>9</v>
      </c>
      <c r="B27" t="s">
        <v>56</v>
      </c>
      <c r="C27">
        <v>2</v>
      </c>
      <c r="D27" s="1">
        <v>3</v>
      </c>
      <c r="E27" s="1">
        <v>6</v>
      </c>
      <c r="F27" s="1">
        <v>18</v>
      </c>
      <c r="J27">
        <v>766.87946783931</v>
      </c>
      <c r="K27">
        <v>22.9199877046902</v>
      </c>
      <c r="L27">
        <v>7.9349990459485298</v>
      </c>
      <c r="M27">
        <v>4.9456621874958904</v>
      </c>
      <c r="N27">
        <v>5.0047779082373998</v>
      </c>
      <c r="O27">
        <v>4.96778776188959</v>
      </c>
      <c r="Q27">
        <v>578.08556966215599</v>
      </c>
      <c r="R27">
        <v>27.431803278778101</v>
      </c>
      <c r="S27">
        <v>9.8038049045144806</v>
      </c>
      <c r="T27">
        <v>6.8477513280972504</v>
      </c>
      <c r="U27">
        <v>7.5073601525253899</v>
      </c>
      <c r="V27">
        <v>6.0604418988530702</v>
      </c>
      <c r="X27">
        <f t="shared" si="8"/>
        <v>-0.12273498175087205</v>
      </c>
      <c r="Y27">
        <f t="shared" si="9"/>
        <v>7.8039977349092959E-2</v>
      </c>
      <c r="Z27">
        <f t="shared" si="10"/>
        <v>9.1847781341930168E-2</v>
      </c>
      <c r="AA27">
        <f t="shared" si="11"/>
        <v>0.14132353217954752</v>
      </c>
      <c r="AB27">
        <f t="shared" si="12"/>
        <v>0.17610244087364335</v>
      </c>
      <c r="AC27">
        <f t="shared" si="13"/>
        <v>8.6341258765408435E-2</v>
      </c>
      <c r="AF27">
        <v>0.95462137224892396</v>
      </c>
      <c r="AG27">
        <v>2.85310939100074E-2</v>
      </c>
      <c r="AH27">
        <v>9.8775883247724603E-3</v>
      </c>
      <c r="AI27">
        <v>6.15642356080944E-3</v>
      </c>
      <c r="AJ27">
        <v>6.2300115662553999E-3</v>
      </c>
      <c r="AK27">
        <v>6.1839657588670096E-3</v>
      </c>
      <c r="AM27">
        <v>0.92350262400843397</v>
      </c>
      <c r="AN27">
        <v>4.3822824230053001E-2</v>
      </c>
      <c r="AO27">
        <v>1.5661763637997601E-2</v>
      </c>
      <c r="AP27">
        <v>1.09394121769047E-2</v>
      </c>
      <c r="AQ27">
        <v>1.19931497412838E-2</v>
      </c>
      <c r="AR27">
        <v>9.6816704826456195E-3</v>
      </c>
      <c r="AT27">
        <f t="shared" si="2"/>
        <v>0.93906199812867897</v>
      </c>
      <c r="AU27">
        <f t="shared" si="3"/>
        <v>3.6176959070030199E-2</v>
      </c>
      <c r="AV27">
        <f t="shared" si="4"/>
        <v>1.276967598138503E-2</v>
      </c>
      <c r="AW27">
        <f t="shared" si="5"/>
        <v>8.54791786885707E-3</v>
      </c>
      <c r="AX27">
        <f t="shared" si="6"/>
        <v>9.1115806537696003E-3</v>
      </c>
      <c r="AY27">
        <f t="shared" si="7"/>
        <v>7.9328181207563141E-3</v>
      </c>
      <c r="BF27" s="1"/>
      <c r="BH27" s="1">
        <v>146.287226</v>
      </c>
      <c r="BI27" s="1">
        <v>410.15201200000001</v>
      </c>
      <c r="BJ27" s="1">
        <v>190.89940300000001</v>
      </c>
      <c r="BK27" s="1">
        <v>37.385497999999998</v>
      </c>
      <c r="BL27" s="1">
        <v>378.80859299999997</v>
      </c>
      <c r="BM27" s="1">
        <v>1</v>
      </c>
      <c r="BN27" s="1">
        <v>1</v>
      </c>
      <c r="BO27" s="1">
        <v>140</v>
      </c>
      <c r="BP27" s="1">
        <v>267.85760499999998</v>
      </c>
      <c r="BQ27" s="1">
        <v>29.746041000000002</v>
      </c>
      <c r="BR27" s="1">
        <v>25031.277914999999</v>
      </c>
      <c r="BS27" s="1">
        <v>9.0048150000000007</v>
      </c>
      <c r="BT27" s="1">
        <v>0.13333300000000001</v>
      </c>
      <c r="BU27" s="1">
        <v>102.32733899999999</v>
      </c>
      <c r="BV27" s="1">
        <v>423.72067399999997</v>
      </c>
      <c r="BW27" s="1">
        <v>834.31731000000002</v>
      </c>
      <c r="BX27" s="1">
        <v>0.50786500000000001</v>
      </c>
      <c r="BY27" s="1">
        <v>1360.365323</v>
      </c>
      <c r="BZ27" s="1">
        <v>7.522049</v>
      </c>
      <c r="CA27" s="1">
        <v>31.147565</v>
      </c>
      <c r="CB27" s="1">
        <v>61.330385999999997</v>
      </c>
      <c r="CC27" s="1">
        <v>33.681072</v>
      </c>
      <c r="CD27" s="1">
        <v>66.318928</v>
      </c>
    </row>
    <row r="28" spans="1:82" x14ac:dyDescent="0.4">
      <c r="A28">
        <v>9</v>
      </c>
      <c r="B28" t="s">
        <v>109</v>
      </c>
      <c r="C28">
        <v>3</v>
      </c>
      <c r="D28" s="1">
        <v>3</v>
      </c>
      <c r="E28" s="1">
        <v>8</v>
      </c>
      <c r="F28" s="1">
        <v>18</v>
      </c>
      <c r="BF28" s="1"/>
      <c r="BH28" s="1">
        <v>180.58370500000001</v>
      </c>
      <c r="BI28" s="1">
        <v>332.25589200000002</v>
      </c>
      <c r="BJ28" s="1">
        <v>192.87619699999999</v>
      </c>
      <c r="BK28" s="1">
        <v>161.728724</v>
      </c>
      <c r="BL28" s="1">
        <v>322.07830799999999</v>
      </c>
      <c r="BM28" s="1">
        <v>0.936782</v>
      </c>
      <c r="BN28" s="1">
        <v>0.89080499999999996</v>
      </c>
      <c r="BO28" s="1">
        <v>152</v>
      </c>
      <c r="BP28" s="1">
        <v>227.375888</v>
      </c>
      <c r="BQ28" s="1">
        <v>149.72190499999999</v>
      </c>
      <c r="BR28" s="1">
        <v>106949.713689</v>
      </c>
      <c r="BS28" s="1">
        <v>1.5186550000000001</v>
      </c>
      <c r="BT28" s="1">
        <v>0.26666699999999999</v>
      </c>
      <c r="BU28" s="1">
        <v>249.76155700000001</v>
      </c>
      <c r="BV28" s="1">
        <v>1119.466293</v>
      </c>
      <c r="BW28" s="1">
        <v>4268.7204080000001</v>
      </c>
      <c r="BX28" s="1">
        <v>0.26224900000000001</v>
      </c>
      <c r="BY28" s="1">
        <v>5637.9482580000004</v>
      </c>
      <c r="BZ28" s="1">
        <v>4.4300079999999999</v>
      </c>
      <c r="CA28" s="1">
        <v>19.855916000000001</v>
      </c>
      <c r="CB28" s="1">
        <v>75.714076000000006</v>
      </c>
      <c r="CC28" s="1">
        <v>20.776309000000001</v>
      </c>
      <c r="CD28" s="1">
        <v>79.223691000000002</v>
      </c>
    </row>
    <row r="29" spans="1:82" x14ac:dyDescent="0.4">
      <c r="A29">
        <v>10</v>
      </c>
      <c r="B29" t="s">
        <v>0</v>
      </c>
      <c r="C29">
        <v>1</v>
      </c>
      <c r="D29" s="1">
        <v>5</v>
      </c>
      <c r="E29" s="1">
        <v>8</v>
      </c>
      <c r="F29" s="1">
        <v>17</v>
      </c>
      <c r="G29" s="1" t="s">
        <v>110</v>
      </c>
      <c r="J29">
        <v>334.61291065172702</v>
      </c>
      <c r="K29">
        <v>10.794777424276001</v>
      </c>
      <c r="L29">
        <v>5.4454547549579102</v>
      </c>
      <c r="M29">
        <v>7.0031654227761102</v>
      </c>
      <c r="N29">
        <v>27.6019106419872</v>
      </c>
      <c r="O29">
        <v>12.3446007706003</v>
      </c>
      <c r="Q29">
        <v>250.20941242948899</v>
      </c>
      <c r="R29">
        <v>7.7021085599911396</v>
      </c>
      <c r="S29">
        <v>4.4922523109861299</v>
      </c>
      <c r="T29">
        <v>7.9792061683361304</v>
      </c>
      <c r="U29">
        <v>25.621563240893199</v>
      </c>
      <c r="V29">
        <v>14.7148101983597</v>
      </c>
      <c r="X29">
        <f t="shared" ref="X29:X51" si="14">LOG10(Q29)-LOG10(J29)</f>
        <v>-0.12623905065493934</v>
      </c>
      <c r="Y29">
        <f t="shared" ref="Y29:Y51" si="15">LOG10(R29)-LOG10(K29)</f>
        <v>-0.14660405647545227</v>
      </c>
      <c r="Z29">
        <f t="shared" ref="Z29:Z51" si="16">LOG10(S29)-LOG10(L29)</f>
        <v>-8.3570013164268153E-2</v>
      </c>
      <c r="AA29">
        <f t="shared" ref="AA29:AA51" si="17">LOG10(T29)-LOG10(M29)</f>
        <v>5.6665301604880147E-2</v>
      </c>
      <c r="AB29">
        <f t="shared" ref="AB29:AB51" si="18">LOG10(U29)-LOG10(N29)</f>
        <v>-3.2333521865098636E-2</v>
      </c>
      <c r="AC29">
        <f t="shared" ref="AC29:AC51" si="19">LOG10(V29)-LOG10(O29)</f>
        <v>7.6277615410614619E-2</v>
      </c>
      <c r="AF29">
        <v>0.85148092808583997</v>
      </c>
      <c r="AG29">
        <v>2.7469194424686701E-2</v>
      </c>
      <c r="AH29">
        <v>1.3856909643952701E-2</v>
      </c>
      <c r="AI29">
        <v>1.78207761981144E-2</v>
      </c>
      <c r="AJ29">
        <v>7.0237877087903702E-2</v>
      </c>
      <c r="AK29">
        <v>3.14129903132764E-2</v>
      </c>
      <c r="AM29">
        <v>0.81601522024429396</v>
      </c>
      <c r="AN29">
        <v>2.5119110236101898E-2</v>
      </c>
      <c r="AO29">
        <v>1.46507128702655E-2</v>
      </c>
      <c r="AP29">
        <v>2.6022816710239899E-2</v>
      </c>
      <c r="AQ29">
        <v>8.3560347982162594E-2</v>
      </c>
      <c r="AR29">
        <v>4.7989837665484501E-2</v>
      </c>
      <c r="AT29">
        <f t="shared" si="2"/>
        <v>0.83374807416506691</v>
      </c>
      <c r="AU29">
        <f t="shared" si="3"/>
        <v>2.62941523303943E-2</v>
      </c>
      <c r="AV29">
        <f t="shared" si="4"/>
        <v>1.42538112571091E-2</v>
      </c>
      <c r="AW29">
        <f t="shared" si="5"/>
        <v>2.1921796454177148E-2</v>
      </c>
      <c r="AX29">
        <f t="shared" si="6"/>
        <v>7.6899112535033148E-2</v>
      </c>
      <c r="AY29">
        <f t="shared" si="7"/>
        <v>3.970141398938045E-2</v>
      </c>
      <c r="BF29" s="1"/>
      <c r="BH29" s="1">
        <v>203.71664100000001</v>
      </c>
      <c r="BI29" s="1">
        <v>294.526749</v>
      </c>
      <c r="BJ29" s="1">
        <v>172.61056099999999</v>
      </c>
      <c r="BK29" s="1">
        <v>152.24258699999999</v>
      </c>
      <c r="BL29" s="1">
        <v>283.31352299999998</v>
      </c>
      <c r="BM29" s="1">
        <v>0.95091999999999999</v>
      </c>
      <c r="BN29" s="1">
        <v>0.889571</v>
      </c>
      <c r="BO29" s="1">
        <v>148</v>
      </c>
      <c r="BP29" s="1">
        <v>200.32288800000001</v>
      </c>
      <c r="BQ29" s="1">
        <v>143.21454299999999</v>
      </c>
      <c r="BR29" s="1">
        <v>90129.625618999999</v>
      </c>
      <c r="BS29" s="1">
        <v>1.3987609999999999</v>
      </c>
      <c r="BT29" s="1">
        <v>0.23333300000000001</v>
      </c>
      <c r="BU29" s="1">
        <v>304.378173</v>
      </c>
      <c r="BV29" s="1">
        <v>1778.638091</v>
      </c>
      <c r="BW29" s="1">
        <v>6919.4217669999998</v>
      </c>
      <c r="BX29" s="1">
        <v>0.25705</v>
      </c>
      <c r="BY29" s="1">
        <v>9002.4380309999997</v>
      </c>
      <c r="BZ29" s="1">
        <v>3.3810639999999998</v>
      </c>
      <c r="CA29" s="1">
        <v>19.757293000000001</v>
      </c>
      <c r="CB29" s="1">
        <v>76.861643000000001</v>
      </c>
      <c r="CC29" s="1">
        <v>20.448675999999999</v>
      </c>
      <c r="CD29" s="1">
        <v>79.551323999999994</v>
      </c>
    </row>
    <row r="30" spans="1:82" x14ac:dyDescent="0.4">
      <c r="A30">
        <v>10</v>
      </c>
      <c r="B30" t="s">
        <v>1</v>
      </c>
      <c r="C30">
        <v>2</v>
      </c>
      <c r="D30" s="1">
        <v>5</v>
      </c>
      <c r="E30" s="1">
        <v>5</v>
      </c>
      <c r="F30" s="1">
        <v>17</v>
      </c>
      <c r="J30">
        <v>126.16669319542601</v>
      </c>
      <c r="K30">
        <v>15.0807190001525</v>
      </c>
      <c r="L30">
        <v>11.2377102016312</v>
      </c>
      <c r="M30">
        <v>3.0595387762067001</v>
      </c>
      <c r="N30">
        <v>6.9904970198707401</v>
      </c>
      <c r="O30">
        <v>5.6676793018297102</v>
      </c>
      <c r="Q30">
        <v>149.93742241618301</v>
      </c>
      <c r="R30">
        <v>10.559925950584599</v>
      </c>
      <c r="S30">
        <v>11.1139863581579</v>
      </c>
      <c r="T30">
        <v>2.7769083246773301</v>
      </c>
      <c r="U30">
        <v>6.8787820282916101</v>
      </c>
      <c r="V30">
        <v>6.03857994687871</v>
      </c>
      <c r="X30">
        <f t="shared" si="14"/>
        <v>7.4965320155587989E-2</v>
      </c>
      <c r="Y30">
        <f t="shared" si="15"/>
        <v>-0.1547611749873532</v>
      </c>
      <c r="Z30">
        <f t="shared" si="16"/>
        <v>-4.8079689299407313E-3</v>
      </c>
      <c r="AA30">
        <f t="shared" si="17"/>
        <v>-4.2094419332787625E-2</v>
      </c>
      <c r="AB30">
        <f t="shared" si="18"/>
        <v>-6.9965069614427167E-3</v>
      </c>
      <c r="AC30">
        <f t="shared" si="19"/>
        <v>2.752955216234354E-2</v>
      </c>
      <c r="AF30">
        <v>0.77531993528851995</v>
      </c>
      <c r="AG30">
        <v>9.2674078896493095E-2</v>
      </c>
      <c r="AH30">
        <v>6.9058009888743499E-2</v>
      </c>
      <c r="AI30">
        <v>1.8801486714936699E-2</v>
      </c>
      <c r="AJ30">
        <v>4.2958022912478598E-2</v>
      </c>
      <c r="AK30">
        <v>3.4829039568503098E-2</v>
      </c>
      <c r="AM30">
        <v>0.82004414829719896</v>
      </c>
      <c r="AN30">
        <v>5.7754797586102802E-2</v>
      </c>
      <c r="AO30">
        <v>6.0785088408179699E-2</v>
      </c>
      <c r="AP30">
        <v>1.51875854960919E-2</v>
      </c>
      <c r="AQ30">
        <v>3.76217281770721E-2</v>
      </c>
      <c r="AR30">
        <v>3.3026459103169398E-2</v>
      </c>
      <c r="AT30">
        <f t="shared" si="2"/>
        <v>0.7976820417928594</v>
      </c>
      <c r="AU30">
        <f t="shared" si="3"/>
        <v>7.5214438241297948E-2</v>
      </c>
      <c r="AV30">
        <f t="shared" si="4"/>
        <v>6.4921549148461599E-2</v>
      </c>
      <c r="AW30">
        <f t="shared" si="5"/>
        <v>1.69945361055143E-2</v>
      </c>
      <c r="AX30">
        <f t="shared" si="6"/>
        <v>4.0289875544775353E-2</v>
      </c>
      <c r="AY30">
        <f t="shared" si="7"/>
        <v>3.3927749335836248E-2</v>
      </c>
      <c r="BF30" s="1"/>
      <c r="BH30" s="1">
        <v>156.970642</v>
      </c>
      <c r="BI30" s="1">
        <v>382.23708199999999</v>
      </c>
      <c r="BJ30" s="1">
        <v>183.45990399999999</v>
      </c>
      <c r="BK30" s="1">
        <v>153.73243099999999</v>
      </c>
      <c r="BL30" s="1">
        <v>258.75842</v>
      </c>
      <c r="BM30" s="1">
        <v>0.9</v>
      </c>
      <c r="BN30" s="1">
        <v>0.80500000000000005</v>
      </c>
      <c r="BO30" s="1">
        <v>156</v>
      </c>
      <c r="BP30" s="1">
        <v>182.872939</v>
      </c>
      <c r="BQ30" s="1">
        <v>180.88988900000001</v>
      </c>
      <c r="BR30" s="1">
        <v>103923.462611</v>
      </c>
      <c r="BS30" s="1">
        <v>1.0109630000000001</v>
      </c>
      <c r="BT30" s="1">
        <v>0.16666700000000001</v>
      </c>
      <c r="BU30" s="1">
        <v>929.09415899999999</v>
      </c>
      <c r="BV30" s="1">
        <v>6072.1586440000001</v>
      </c>
      <c r="BW30" s="1">
        <v>5003.9908939999996</v>
      </c>
      <c r="BX30" s="1">
        <v>1.213463</v>
      </c>
      <c r="BY30" s="1">
        <v>12005.243697</v>
      </c>
      <c r="BZ30" s="1">
        <v>7.7390699999999999</v>
      </c>
      <c r="CA30" s="1">
        <v>50.579219999999999</v>
      </c>
      <c r="CB30" s="1">
        <v>41.681710000000002</v>
      </c>
      <c r="CC30" s="1">
        <v>54.821927000000002</v>
      </c>
      <c r="CD30" s="1">
        <v>45.178072999999998</v>
      </c>
    </row>
    <row r="31" spans="1:82" x14ac:dyDescent="0.4">
      <c r="A31">
        <v>10</v>
      </c>
      <c r="B31" t="s">
        <v>2</v>
      </c>
      <c r="C31">
        <v>3</v>
      </c>
      <c r="D31" s="1">
        <v>5</v>
      </c>
      <c r="E31" s="1">
        <v>7</v>
      </c>
      <c r="F31" s="1">
        <v>17</v>
      </c>
      <c r="J31">
        <v>161.40447563642499</v>
      </c>
      <c r="K31">
        <v>12.5056854489738</v>
      </c>
      <c r="L31">
        <v>13.5528487857899</v>
      </c>
      <c r="M31">
        <v>4.2001460053461299</v>
      </c>
      <c r="N31">
        <v>6.41161748567853</v>
      </c>
      <c r="O31">
        <v>4.6389600044071804</v>
      </c>
      <c r="Q31">
        <v>152.00695403282199</v>
      </c>
      <c r="R31">
        <v>12.214548473773</v>
      </c>
      <c r="S31">
        <v>12.3535547863048</v>
      </c>
      <c r="T31">
        <v>3.6570338997891199</v>
      </c>
      <c r="U31">
        <v>6.4085824085480301</v>
      </c>
      <c r="V31">
        <v>4.7601280572541498</v>
      </c>
      <c r="X31">
        <f t="shared" si="14"/>
        <v>-2.6052116687270033E-2</v>
      </c>
      <c r="Y31">
        <f t="shared" si="15"/>
        <v>-1.0230083466914675E-2</v>
      </c>
      <c r="Z31">
        <f t="shared" si="16"/>
        <v>-4.0238647161769281E-2</v>
      </c>
      <c r="AA31">
        <f t="shared" si="17"/>
        <v>-6.0135401433841995E-2</v>
      </c>
      <c r="AB31">
        <f t="shared" si="18"/>
        <v>-2.0563131393069867E-4</v>
      </c>
      <c r="AC31">
        <f t="shared" si="19"/>
        <v>1.1198008103973089E-2</v>
      </c>
      <c r="AF31">
        <v>0.81296728995180101</v>
      </c>
      <c r="AG31">
        <v>6.2989041464644194E-2</v>
      </c>
      <c r="AH31">
        <v>6.8263427671789598E-2</v>
      </c>
      <c r="AI31">
        <v>2.1155431420995501E-2</v>
      </c>
      <c r="AJ31">
        <v>3.2294242591395302E-2</v>
      </c>
      <c r="AK31">
        <v>2.3365663982409499E-2</v>
      </c>
      <c r="AM31">
        <v>0.81304557384271103</v>
      </c>
      <c r="AN31">
        <v>6.5332435849902504E-2</v>
      </c>
      <c r="AO31">
        <v>6.6075944381201193E-2</v>
      </c>
      <c r="AP31">
        <v>1.95605210599397E-2</v>
      </c>
      <c r="AQ31">
        <v>3.4277836793908598E-2</v>
      </c>
      <c r="AR31">
        <v>2.5460684167379101E-2</v>
      </c>
      <c r="AT31">
        <f t="shared" si="2"/>
        <v>0.81300643189725608</v>
      </c>
      <c r="AU31">
        <f t="shared" si="3"/>
        <v>6.4160738657273342E-2</v>
      </c>
      <c r="AV31">
        <f t="shared" si="4"/>
        <v>6.7169686026495395E-2</v>
      </c>
      <c r="AW31">
        <f t="shared" si="5"/>
        <v>2.0357976240467601E-2</v>
      </c>
      <c r="AX31">
        <f t="shared" si="6"/>
        <v>3.3286039692651953E-2</v>
      </c>
      <c r="AY31">
        <f t="shared" si="7"/>
        <v>2.4413174074894302E-2</v>
      </c>
      <c r="BF31" s="1"/>
      <c r="BH31" s="1">
        <v>205.19042099999999</v>
      </c>
      <c r="BI31" s="1">
        <v>292.41131100000001</v>
      </c>
      <c r="BJ31" s="1">
        <v>178.00284600000001</v>
      </c>
      <c r="BK31" s="1">
        <v>147.98665600000001</v>
      </c>
      <c r="BL31" s="1">
        <v>281.29798799999998</v>
      </c>
      <c r="BM31" s="1">
        <v>0.97674399999999995</v>
      </c>
      <c r="BN31" s="1">
        <v>0.93023299999999998</v>
      </c>
      <c r="BO31" s="1">
        <v>152</v>
      </c>
      <c r="BP31" s="1">
        <v>198.88852900000001</v>
      </c>
      <c r="BQ31" s="1">
        <v>149.36355900000001</v>
      </c>
      <c r="BR31" s="1">
        <v>93326.345707999993</v>
      </c>
      <c r="BS31" s="1">
        <v>1.3315729999999999</v>
      </c>
      <c r="BT31" s="1">
        <v>0.16666700000000001</v>
      </c>
      <c r="BU31" s="1">
        <v>7.2708215712297801E+28</v>
      </c>
      <c r="BV31" s="1">
        <v>1.1259016402711601E+22</v>
      </c>
      <c r="BW31" s="1">
        <v>5.15505508444525E+22</v>
      </c>
      <c r="BX31" s="1">
        <v>0.21840699999999999</v>
      </c>
      <c r="BY31" s="1">
        <v>7.2708278521865101E+28</v>
      </c>
      <c r="BZ31" s="1">
        <v>99.999914000000004</v>
      </c>
      <c r="CA31" s="1">
        <v>1.5E-5</v>
      </c>
      <c r="CB31" s="1">
        <v>7.1000000000000005E-5</v>
      </c>
      <c r="CC31" s="1">
        <v>17.925639</v>
      </c>
      <c r="CD31" s="1">
        <v>82.074360999999996</v>
      </c>
    </row>
    <row r="32" spans="1:82" x14ac:dyDescent="0.4">
      <c r="A32">
        <v>11</v>
      </c>
      <c r="B32" t="s">
        <v>3</v>
      </c>
      <c r="C32">
        <v>1</v>
      </c>
      <c r="D32" s="1">
        <v>5</v>
      </c>
      <c r="E32" s="1">
        <v>9</v>
      </c>
      <c r="F32" s="1">
        <v>2</v>
      </c>
      <c r="G32" s="1" t="s">
        <v>116</v>
      </c>
      <c r="J32">
        <v>538.10524085936595</v>
      </c>
      <c r="K32">
        <v>20.763589405009601</v>
      </c>
      <c r="L32">
        <v>12.860932973158899</v>
      </c>
      <c r="M32">
        <v>8.36350773955294</v>
      </c>
      <c r="N32">
        <v>9.8529998283572695</v>
      </c>
      <c r="O32">
        <v>6.8937135931507196</v>
      </c>
      <c r="Q32">
        <v>721.75464218702996</v>
      </c>
      <c r="R32">
        <v>9.7506358888403408</v>
      </c>
      <c r="S32">
        <v>7.2282416370167297</v>
      </c>
      <c r="T32">
        <v>4.5240117032212801</v>
      </c>
      <c r="U32">
        <v>4.6392722499402099</v>
      </c>
      <c r="V32">
        <v>3.5227128728733201</v>
      </c>
      <c r="X32">
        <f t="shared" si="14"/>
        <v>0.12752236399553363</v>
      </c>
      <c r="Y32">
        <f t="shared" si="15"/>
        <v>-0.32826949303605102</v>
      </c>
      <c r="Z32">
        <f t="shared" si="16"/>
        <v>-0.25023981243019078</v>
      </c>
      <c r="AA32">
        <f t="shared" si="17"/>
        <v>-0.26686474339910005</v>
      </c>
      <c r="AB32">
        <f t="shared" si="18"/>
        <v>-0.32711861592433611</v>
      </c>
      <c r="AC32">
        <f t="shared" si="19"/>
        <v>-0.29157598979413879</v>
      </c>
      <c r="AF32">
        <v>0.913216550168232</v>
      </c>
      <c r="AG32">
        <v>3.5237816036265197E-2</v>
      </c>
      <c r="AH32">
        <v>2.1826245035146501E-2</v>
      </c>
      <c r="AI32">
        <v>1.4193680167511999E-2</v>
      </c>
      <c r="AJ32">
        <v>1.6721492059231301E-2</v>
      </c>
      <c r="AK32">
        <v>1.16992975859722E-2</v>
      </c>
      <c r="AM32">
        <v>0.96471283765433002</v>
      </c>
      <c r="AN32">
        <v>1.3032910448284699E-2</v>
      </c>
      <c r="AO32">
        <v>9.6614238320210395E-3</v>
      </c>
      <c r="AP32">
        <v>6.0468917173449304E-3</v>
      </c>
      <c r="AQ32">
        <v>6.2009514526004802E-3</v>
      </c>
      <c r="AR32">
        <v>4.7085340823487497E-3</v>
      </c>
      <c r="AT32">
        <f t="shared" si="2"/>
        <v>0.93896469391128101</v>
      </c>
      <c r="AU32">
        <f t="shared" si="3"/>
        <v>2.413536324227495E-2</v>
      </c>
      <c r="AV32">
        <f t="shared" si="4"/>
        <v>1.5743834433583771E-2</v>
      </c>
      <c r="AW32">
        <f t="shared" si="5"/>
        <v>1.0120285942428465E-2</v>
      </c>
      <c r="AX32">
        <f t="shared" si="6"/>
        <v>1.1461221755915891E-2</v>
      </c>
      <c r="AY32">
        <f t="shared" si="7"/>
        <v>8.2039158341604759E-3</v>
      </c>
      <c r="BF32" s="1"/>
      <c r="BH32" s="1">
        <v>198.55449100000001</v>
      </c>
      <c r="BI32" s="1">
        <v>302.18404900000002</v>
      </c>
      <c r="BJ32" s="1">
        <v>187.97974199999999</v>
      </c>
      <c r="BK32" s="1">
        <v>150.672101</v>
      </c>
      <c r="BL32" s="1">
        <v>291.01430499999998</v>
      </c>
      <c r="BM32" s="1">
        <v>0.96685100000000002</v>
      </c>
      <c r="BN32" s="1">
        <v>0.93370200000000003</v>
      </c>
      <c r="BO32" s="1">
        <v>168</v>
      </c>
      <c r="BP32" s="1">
        <v>204.96992299999999</v>
      </c>
      <c r="BQ32" s="1">
        <v>165.171874</v>
      </c>
      <c r="BR32" s="1">
        <v>106359.45566599999</v>
      </c>
      <c r="BS32" s="1">
        <v>1.2409490000000001</v>
      </c>
      <c r="BT32" s="1">
        <v>0.26666699999999999</v>
      </c>
      <c r="BU32" s="1">
        <v>368.10062699999997</v>
      </c>
      <c r="BV32" s="1">
        <v>2769.8284010000002</v>
      </c>
      <c r="BW32" s="1">
        <v>11702.363319</v>
      </c>
      <c r="BX32" s="1">
        <v>0.23669000000000001</v>
      </c>
      <c r="BY32" s="1">
        <v>14840.292347000001</v>
      </c>
      <c r="BZ32" s="1">
        <v>2.4804140000000001</v>
      </c>
      <c r="CA32" s="1">
        <v>18.664244</v>
      </c>
      <c r="CB32" s="1">
        <v>78.855341999999993</v>
      </c>
      <c r="CC32" s="1">
        <v>19.13897</v>
      </c>
      <c r="CD32" s="1">
        <v>80.86103</v>
      </c>
    </row>
    <row r="33" spans="1:82" x14ac:dyDescent="0.4">
      <c r="A33">
        <v>11</v>
      </c>
      <c r="B33" t="s">
        <v>4</v>
      </c>
      <c r="C33">
        <v>2</v>
      </c>
      <c r="D33" s="1">
        <v>5</v>
      </c>
      <c r="E33" s="1">
        <v>6</v>
      </c>
      <c r="F33" s="1">
        <v>2</v>
      </c>
      <c r="J33">
        <v>291.58850565236202</v>
      </c>
      <c r="K33">
        <v>5.8422885707831798</v>
      </c>
      <c r="L33">
        <v>3.5744505710177701</v>
      </c>
      <c r="M33">
        <v>2.6034202414671999</v>
      </c>
      <c r="N33">
        <v>2.7681440674259501</v>
      </c>
      <c r="O33">
        <v>1.91795956674225</v>
      </c>
      <c r="Q33">
        <v>356.46181248553302</v>
      </c>
      <c r="R33">
        <v>4.4225585564093501</v>
      </c>
      <c r="S33">
        <v>3.1411587483416299</v>
      </c>
      <c r="T33">
        <v>2.08557654305829</v>
      </c>
      <c r="U33">
        <v>1.84702604242778</v>
      </c>
      <c r="V33">
        <v>1.45517285730718</v>
      </c>
      <c r="X33">
        <f t="shared" si="14"/>
        <v>8.7242610802784171E-2</v>
      </c>
      <c r="Y33">
        <f t="shared" si="15"/>
        <v>-0.12090941262066013</v>
      </c>
      <c r="Z33">
        <f t="shared" si="16"/>
        <v>-5.6119410448400742E-2</v>
      </c>
      <c r="AA33">
        <f t="shared" si="17"/>
        <v>-9.6318143563268122E-2</v>
      </c>
      <c r="AB33">
        <f t="shared" si="18"/>
        <v>-0.17571567024481022</v>
      </c>
      <c r="AC33">
        <f t="shared" si="19"/>
        <v>-0.1199248619699205</v>
      </c>
      <c r="AF33">
        <v>0.95105924862996005</v>
      </c>
      <c r="AG33">
        <v>1.90554924858145E-2</v>
      </c>
      <c r="AH33">
        <v>1.16586017913548E-2</v>
      </c>
      <c r="AI33">
        <v>8.4914420517994398E-3</v>
      </c>
      <c r="AJ33">
        <v>9.0287132923007902E-3</v>
      </c>
      <c r="AK33">
        <v>6.2557101843487804E-3</v>
      </c>
      <c r="AM33">
        <v>0.96814912651180396</v>
      </c>
      <c r="AN33">
        <v>1.2011654694452799E-2</v>
      </c>
      <c r="AO33">
        <v>8.5313769720151405E-3</v>
      </c>
      <c r="AP33">
        <v>5.6644191262909399E-3</v>
      </c>
      <c r="AQ33">
        <v>5.0165167403270804E-3</v>
      </c>
      <c r="AR33">
        <v>3.9522447605318499E-3</v>
      </c>
      <c r="AT33">
        <f t="shared" si="2"/>
        <v>0.95960418757088206</v>
      </c>
      <c r="AU33">
        <f t="shared" si="3"/>
        <v>1.5533573590133649E-2</v>
      </c>
      <c r="AV33">
        <f t="shared" si="4"/>
        <v>1.009498938168497E-2</v>
      </c>
      <c r="AW33">
        <f t="shared" si="5"/>
        <v>7.0779305890451899E-3</v>
      </c>
      <c r="AX33">
        <f t="shared" si="6"/>
        <v>7.0226150163139357E-3</v>
      </c>
      <c r="AY33">
        <f t="shared" si="7"/>
        <v>5.1039774724403152E-3</v>
      </c>
      <c r="BH33" s="1">
        <v>143.07937899999999</v>
      </c>
      <c r="BI33" s="1">
        <v>419.34763900000002</v>
      </c>
      <c r="BJ33" s="1">
        <v>187.18236999999999</v>
      </c>
      <c r="BK33" s="1">
        <v>159.053077</v>
      </c>
      <c r="BL33" s="1">
        <v>272.42315200000002</v>
      </c>
      <c r="BM33" s="1">
        <v>0.88617900000000005</v>
      </c>
      <c r="BN33" s="1">
        <v>0.78048799999999996</v>
      </c>
      <c r="BO33" s="1">
        <v>176</v>
      </c>
      <c r="BP33" s="1">
        <v>191.87715</v>
      </c>
      <c r="BQ33" s="1">
        <v>189.87171699999999</v>
      </c>
      <c r="BR33" s="1">
        <v>114454.64172499999</v>
      </c>
      <c r="BS33" s="1">
        <v>1.010562</v>
      </c>
      <c r="BT33" s="1">
        <v>0.26666699999999999</v>
      </c>
      <c r="BU33" s="1">
        <v>279.76511799999997</v>
      </c>
      <c r="BV33" s="1">
        <v>2613.8730519999999</v>
      </c>
      <c r="BW33" s="1">
        <v>6841.05159</v>
      </c>
      <c r="BX33" s="1">
        <v>0.38208599999999998</v>
      </c>
      <c r="BY33" s="1">
        <v>9734.6897599999993</v>
      </c>
      <c r="BZ33" s="1">
        <v>2.8738990000000002</v>
      </c>
      <c r="CA33" s="1">
        <v>26.851118</v>
      </c>
      <c r="CB33" s="1">
        <v>70.274983000000006</v>
      </c>
      <c r="CC33" s="1">
        <v>27.645624999999999</v>
      </c>
      <c r="CD33" s="1">
        <v>72.354375000000005</v>
      </c>
    </row>
    <row r="34" spans="1:82" x14ac:dyDescent="0.4">
      <c r="A34">
        <v>11</v>
      </c>
      <c r="B34" t="s">
        <v>5</v>
      </c>
      <c r="C34">
        <v>3</v>
      </c>
      <c r="D34" s="1">
        <v>5</v>
      </c>
      <c r="E34" s="1">
        <v>8</v>
      </c>
      <c r="F34" s="1">
        <v>2</v>
      </c>
      <c r="J34">
        <v>144.27153863834999</v>
      </c>
      <c r="K34">
        <v>8.4438736627222895</v>
      </c>
      <c r="L34">
        <v>13.040866120858499</v>
      </c>
      <c r="M34">
        <v>2.8285136577685299</v>
      </c>
      <c r="N34">
        <v>2.4106114577030402</v>
      </c>
      <c r="O34">
        <v>1.4069172738961699</v>
      </c>
      <c r="Q34">
        <v>77.490322579651803</v>
      </c>
      <c r="R34">
        <v>5.6850713935141899</v>
      </c>
      <c r="S34">
        <v>13.723611742925801</v>
      </c>
      <c r="T34">
        <v>2.4614411562445699</v>
      </c>
      <c r="U34">
        <v>2.14943890774616</v>
      </c>
      <c r="V34">
        <v>1.2591122273042401</v>
      </c>
      <c r="X34">
        <f t="shared" si="14"/>
        <v>-0.26993319472153599</v>
      </c>
      <c r="Y34">
        <f t="shared" si="15"/>
        <v>-0.17180580381042054</v>
      </c>
      <c r="Z34">
        <f t="shared" si="16"/>
        <v>2.2161986444988457E-2</v>
      </c>
      <c r="AA34">
        <f t="shared" si="17"/>
        <v>-6.0368822223818397E-2</v>
      </c>
      <c r="AB34">
        <f t="shared" si="18"/>
        <v>-4.9802110515342946E-2</v>
      </c>
      <c r="AC34">
        <f t="shared" si="19"/>
        <v>-4.8204120457090438E-2</v>
      </c>
      <c r="AF34">
        <v>0.850170671658254</v>
      </c>
      <c r="AG34">
        <v>4.9758488825915999E-2</v>
      </c>
      <c r="AH34">
        <v>7.6847880140570396E-2</v>
      </c>
      <c r="AI34">
        <v>1.6668009358710701E-2</v>
      </c>
      <c r="AJ34">
        <v>1.42053739874491E-2</v>
      </c>
      <c r="AK34">
        <v>8.2907537758660499E-3</v>
      </c>
      <c r="AM34">
        <v>0.76960723568657197</v>
      </c>
      <c r="AN34">
        <v>5.6462174039164099E-2</v>
      </c>
      <c r="AO34">
        <v>0.13629819241302699</v>
      </c>
      <c r="AP34">
        <v>2.4446187097948401E-2</v>
      </c>
      <c r="AQ34">
        <v>2.1347488060426099E-2</v>
      </c>
      <c r="AR34">
        <v>1.2505069645035101E-2</v>
      </c>
      <c r="AT34">
        <f t="shared" si="2"/>
        <v>0.80988895367241298</v>
      </c>
      <c r="AU34">
        <f t="shared" si="3"/>
        <v>5.3110331432540049E-2</v>
      </c>
      <c r="AV34">
        <f t="shared" si="4"/>
        <v>0.10657303627679869</v>
      </c>
      <c r="AW34">
        <f t="shared" si="5"/>
        <v>2.0557098228329553E-2</v>
      </c>
      <c r="AX34">
        <f t="shared" si="6"/>
        <v>1.7776431023937601E-2</v>
      </c>
      <c r="AY34">
        <f t="shared" si="7"/>
        <v>1.0397911710450576E-2</v>
      </c>
      <c r="BH34" s="1">
        <v>167.69696200000001</v>
      </c>
      <c r="BI34" s="1">
        <v>357.78823499999999</v>
      </c>
      <c r="BJ34" s="1">
        <v>176.91474099999999</v>
      </c>
      <c r="BK34" s="1">
        <v>155.223938</v>
      </c>
      <c r="BL34" s="1">
        <v>276.69401699999997</v>
      </c>
      <c r="BM34" s="1">
        <v>0.92105300000000001</v>
      </c>
      <c r="BN34" s="1">
        <v>0.868421</v>
      </c>
      <c r="BO34" s="1">
        <v>128</v>
      </c>
      <c r="BP34" s="1">
        <v>195.47134600000001</v>
      </c>
      <c r="BQ34" s="1">
        <v>174.48621800000001</v>
      </c>
      <c r="BR34" s="1">
        <v>107150.476502</v>
      </c>
      <c r="BS34" s="1">
        <v>1.120268</v>
      </c>
      <c r="BT34" s="1">
        <v>0.16666700000000001</v>
      </c>
      <c r="BU34" s="1">
        <v>1.4953611236970601E+20</v>
      </c>
      <c r="BV34" s="1">
        <v>2502305067084810</v>
      </c>
      <c r="BW34" s="1">
        <v>2.57471990084609E+16</v>
      </c>
      <c r="BX34" s="1">
        <v>9.7186999999999996E-2</v>
      </c>
      <c r="BY34" s="1">
        <v>1.4956436187378201E+20</v>
      </c>
      <c r="BZ34" s="1">
        <v>99.981111999999996</v>
      </c>
      <c r="CA34" s="1">
        <v>1.673E-3</v>
      </c>
      <c r="CB34" s="1">
        <v>1.7215000000000001E-2</v>
      </c>
      <c r="CC34" s="1">
        <v>8.8578729999999997</v>
      </c>
      <c r="CD34" s="1">
        <v>91.142127000000002</v>
      </c>
    </row>
    <row r="35" spans="1:82" x14ac:dyDescent="0.4">
      <c r="A35">
        <v>12</v>
      </c>
      <c r="B35" t="s">
        <v>6</v>
      </c>
      <c r="C35">
        <v>1</v>
      </c>
      <c r="D35" s="1">
        <v>5</v>
      </c>
      <c r="E35" s="1">
        <v>8</v>
      </c>
      <c r="F35" s="1">
        <v>11</v>
      </c>
      <c r="G35" s="1" t="s">
        <v>110</v>
      </c>
      <c r="J35">
        <v>270.16276511280603</v>
      </c>
      <c r="K35">
        <v>19.656966704637</v>
      </c>
      <c r="L35">
        <v>12.7727546875381</v>
      </c>
      <c r="M35">
        <v>5.2681243673103904</v>
      </c>
      <c r="N35">
        <v>7.5218595909188899</v>
      </c>
      <c r="O35">
        <v>3.6579303748290801</v>
      </c>
      <c r="Q35">
        <v>603.623726264109</v>
      </c>
      <c r="R35">
        <v>23.933735567820701</v>
      </c>
      <c r="S35">
        <v>12.776550523211601</v>
      </c>
      <c r="T35">
        <v>4.4780800024397402</v>
      </c>
      <c r="U35">
        <v>7.6743451498805104</v>
      </c>
      <c r="V35">
        <v>3.83655673237427</v>
      </c>
      <c r="X35">
        <f t="shared" si="14"/>
        <v>0.34914080933423319</v>
      </c>
      <c r="Y35">
        <f t="shared" si="15"/>
        <v>8.5493986364108432E-2</v>
      </c>
      <c r="Z35">
        <f t="shared" si="16"/>
        <v>1.2904542693004117E-4</v>
      </c>
      <c r="AA35">
        <f t="shared" si="17"/>
        <v>-7.0564170890417666E-2</v>
      </c>
      <c r="AB35">
        <f t="shared" si="18"/>
        <v>8.716105209301106E-3</v>
      </c>
      <c r="AC35">
        <f t="shared" si="19"/>
        <v>2.0706189790536289E-2</v>
      </c>
      <c r="AF35">
        <v>0.86516357609314998</v>
      </c>
      <c r="AG35">
        <v>6.2949058143622103E-2</v>
      </c>
      <c r="AH35">
        <v>4.0903201880602799E-2</v>
      </c>
      <c r="AI35">
        <v>1.68705310482835E-2</v>
      </c>
      <c r="AJ35">
        <v>2.4087845487636601E-2</v>
      </c>
      <c r="AK35">
        <v>1.1714079558171E-2</v>
      </c>
      <c r="AM35">
        <v>0.93065006837883602</v>
      </c>
      <c r="AN35">
        <v>3.6900359733387303E-2</v>
      </c>
      <c r="AO35">
        <v>1.9698525920550099E-2</v>
      </c>
      <c r="AP35">
        <v>6.90417768411738E-3</v>
      </c>
      <c r="AQ35">
        <v>1.18320893095149E-2</v>
      </c>
      <c r="AR35">
        <v>5.9150951660259399E-3</v>
      </c>
      <c r="AT35">
        <f t="shared" si="2"/>
        <v>0.89790682223599294</v>
      </c>
      <c r="AU35">
        <f t="shared" si="3"/>
        <v>4.9924708938504703E-2</v>
      </c>
      <c r="AV35">
        <f t="shared" si="4"/>
        <v>3.0300863900576451E-2</v>
      </c>
      <c r="AW35">
        <f t="shared" si="5"/>
        <v>1.1887354366200441E-2</v>
      </c>
      <c r="AX35">
        <f t="shared" si="6"/>
        <v>1.7959967398575749E-2</v>
      </c>
      <c r="AY35">
        <f t="shared" si="7"/>
        <v>8.8145873620984697E-3</v>
      </c>
      <c r="BH35" s="1">
        <v>77.271651000000006</v>
      </c>
      <c r="BI35" s="1">
        <v>776.48140000000001</v>
      </c>
      <c r="BJ35" s="1">
        <v>38.454329000000001</v>
      </c>
      <c r="BK35" s="1">
        <v>34.327933999999999</v>
      </c>
      <c r="BL35" s="1">
        <v>52.710597</v>
      </c>
      <c r="BM35" s="1">
        <v>0.61283200000000004</v>
      </c>
      <c r="BN35" s="1">
        <v>0.29203499999999999</v>
      </c>
      <c r="BO35" s="1">
        <v>24</v>
      </c>
      <c r="BP35" s="1">
        <v>37.270811000000002</v>
      </c>
      <c r="BQ35" s="1">
        <v>39.500160000000001</v>
      </c>
      <c r="BR35" s="1">
        <v>4625.0621110000002</v>
      </c>
      <c r="BS35" s="1">
        <v>0.94356099999999998</v>
      </c>
      <c r="BT35" s="1">
        <v>0.338171</v>
      </c>
      <c r="BU35" s="1">
        <v>278.30827900000003</v>
      </c>
      <c r="BV35" s="1">
        <v>195.00787399999999</v>
      </c>
      <c r="BW35" s="1">
        <v>319.48982100000001</v>
      </c>
      <c r="BX35" s="1">
        <v>0.61037300000000005</v>
      </c>
      <c r="BY35" s="1">
        <v>792.80597399999999</v>
      </c>
      <c r="BZ35" s="1">
        <v>35.104210999999999</v>
      </c>
      <c r="CA35" s="1">
        <v>24.597175</v>
      </c>
      <c r="CB35" s="1">
        <v>40.298614000000001</v>
      </c>
      <c r="CC35" s="1">
        <v>37.902574999999999</v>
      </c>
      <c r="CD35" s="1">
        <v>62.097425000000001</v>
      </c>
    </row>
    <row r="36" spans="1:82" x14ac:dyDescent="0.4">
      <c r="A36">
        <v>12</v>
      </c>
      <c r="B36" t="s">
        <v>7</v>
      </c>
      <c r="C36">
        <v>2</v>
      </c>
      <c r="D36" s="1">
        <v>3</v>
      </c>
      <c r="E36" s="1">
        <v>7</v>
      </c>
      <c r="F36" s="1">
        <v>11</v>
      </c>
      <c r="J36">
        <v>153.467343534007</v>
      </c>
      <c r="K36">
        <v>9.1543821292780603</v>
      </c>
      <c r="L36">
        <v>7.7491424435011602</v>
      </c>
      <c r="M36">
        <v>3.45928518669148</v>
      </c>
      <c r="N36">
        <v>6.1787915117740697</v>
      </c>
      <c r="O36">
        <v>4.6736702091839302</v>
      </c>
      <c r="Q36">
        <v>161.22575379953699</v>
      </c>
      <c r="R36">
        <v>9.5683620934702898</v>
      </c>
      <c r="S36">
        <v>7.3740071978670301</v>
      </c>
      <c r="T36">
        <v>3.4403542241243201</v>
      </c>
      <c r="U36">
        <v>6.2582357752914604</v>
      </c>
      <c r="V36">
        <v>4.8219182457122196</v>
      </c>
      <c r="X36">
        <f t="shared" si="14"/>
        <v>2.1418440430008623E-2</v>
      </c>
      <c r="Y36">
        <f t="shared" si="15"/>
        <v>1.9208564743233292E-2</v>
      </c>
      <c r="Z36">
        <f t="shared" si="16"/>
        <v>-2.155008690733573E-2</v>
      </c>
      <c r="AA36">
        <f t="shared" si="17"/>
        <v>-2.3832066350085723E-3</v>
      </c>
      <c r="AB36">
        <f t="shared" si="18"/>
        <v>5.5483796479465219E-3</v>
      </c>
      <c r="AC36">
        <f t="shared" si="19"/>
        <v>1.3561778989331197E-2</v>
      </c>
      <c r="AF36">
        <v>0.84648980247438799</v>
      </c>
      <c r="AG36">
        <v>5.04934205671616E-2</v>
      </c>
      <c r="AH36">
        <v>4.27424486883861E-2</v>
      </c>
      <c r="AI36">
        <v>1.90806041660334E-2</v>
      </c>
      <c r="AJ36">
        <v>3.4080761977697903E-2</v>
      </c>
      <c r="AK36">
        <v>2.5778866572521899E-2</v>
      </c>
      <c r="AM36">
        <v>0.85087921440354397</v>
      </c>
      <c r="AN36">
        <v>5.0497642153024602E-2</v>
      </c>
      <c r="AO36">
        <v>3.8916794021187001E-2</v>
      </c>
      <c r="AP36">
        <v>1.8156689179649101E-2</v>
      </c>
      <c r="AQ36">
        <v>3.3028239065658903E-2</v>
      </c>
      <c r="AR36">
        <v>2.5447981554678398E-2</v>
      </c>
      <c r="AT36">
        <f t="shared" si="2"/>
        <v>0.84868450843896603</v>
      </c>
      <c r="AU36">
        <f t="shared" si="3"/>
        <v>5.0495531360093104E-2</v>
      </c>
      <c r="AV36">
        <f t="shared" si="4"/>
        <v>4.0829621354786551E-2</v>
      </c>
      <c r="AW36">
        <f t="shared" si="5"/>
        <v>1.8618646672841251E-2</v>
      </c>
      <c r="AX36">
        <f t="shared" si="6"/>
        <v>3.3554500521678403E-2</v>
      </c>
      <c r="AY36">
        <f t="shared" si="7"/>
        <v>2.5613424063600149E-2</v>
      </c>
      <c r="BH36" s="1">
        <v>81.098659999999995</v>
      </c>
      <c r="BI36" s="1">
        <v>739.83959900000002</v>
      </c>
      <c r="BJ36" s="1">
        <v>48.171522000000003</v>
      </c>
      <c r="BK36" s="1">
        <v>41.266635999999998</v>
      </c>
      <c r="BL36" s="1">
        <v>70.249403999999998</v>
      </c>
      <c r="BM36" s="1">
        <v>0.765957</v>
      </c>
      <c r="BN36" s="1">
        <v>0.51063800000000004</v>
      </c>
      <c r="BO36" s="1">
        <v>32</v>
      </c>
      <c r="BP36" s="1">
        <v>49.656582</v>
      </c>
      <c r="BQ36" s="1">
        <v>45.333029000000003</v>
      </c>
      <c r="BR36" s="1">
        <v>7071.9866860000002</v>
      </c>
      <c r="BS36" s="1">
        <v>1.0953729999999999</v>
      </c>
      <c r="BT36" s="1">
        <v>0.3</v>
      </c>
      <c r="BU36" s="1">
        <v>455.586455</v>
      </c>
      <c r="BV36" s="1">
        <v>291.00278100000003</v>
      </c>
      <c r="BW36" s="1">
        <v>399.144566</v>
      </c>
      <c r="BX36" s="1">
        <v>0.72906599999999999</v>
      </c>
      <c r="BY36" s="1">
        <v>1145.7338010000001</v>
      </c>
      <c r="BZ36" s="1">
        <v>39.763725999999998</v>
      </c>
      <c r="CA36" s="1">
        <v>25.398813000000001</v>
      </c>
      <c r="CB36" s="1">
        <v>34.837460999999998</v>
      </c>
      <c r="CC36" s="1">
        <v>42.165312</v>
      </c>
      <c r="CD36" s="1">
        <v>57.834688</v>
      </c>
    </row>
    <row r="37" spans="1:82" x14ac:dyDescent="0.4">
      <c r="A37">
        <v>12</v>
      </c>
      <c r="B37" t="s">
        <v>8</v>
      </c>
      <c r="C37">
        <v>3</v>
      </c>
      <c r="D37" s="1">
        <v>3</v>
      </c>
      <c r="E37" s="1">
        <v>5</v>
      </c>
      <c r="F37" s="1">
        <v>11</v>
      </c>
      <c r="J37">
        <v>955.69619018283299</v>
      </c>
      <c r="K37">
        <v>15.982372205553199</v>
      </c>
      <c r="L37">
        <v>14.965753300518999</v>
      </c>
      <c r="M37">
        <v>6.1923395700550801</v>
      </c>
      <c r="N37">
        <v>7.6101171886031702</v>
      </c>
      <c r="O37">
        <v>6.13408735199594</v>
      </c>
      <c r="Q37">
        <v>635.09695809120103</v>
      </c>
      <c r="R37">
        <v>21.555224072722801</v>
      </c>
      <c r="S37">
        <v>14.7422517160957</v>
      </c>
      <c r="T37">
        <v>6.1799892867903097</v>
      </c>
      <c r="U37">
        <v>8.3468838599416006</v>
      </c>
      <c r="V37">
        <v>5.6500442661716797</v>
      </c>
      <c r="X37">
        <f t="shared" si="14"/>
        <v>-0.17747982211300606</v>
      </c>
      <c r="Y37">
        <f t="shared" si="15"/>
        <v>0.12991130131134709</v>
      </c>
      <c r="Z37">
        <f t="shared" si="16"/>
        <v>-6.5347596456137858E-3</v>
      </c>
      <c r="AA37">
        <f t="shared" si="17"/>
        <v>-8.6704155950179107E-4</v>
      </c>
      <c r="AB37">
        <f t="shared" si="18"/>
        <v>4.0133026144853923E-2</v>
      </c>
      <c r="AC37">
        <f t="shared" si="19"/>
        <v>-3.5698105845386463E-2</v>
      </c>
      <c r="AF37">
        <v>0.95470005410084602</v>
      </c>
      <c r="AG37">
        <v>1.59657135458314E-2</v>
      </c>
      <c r="AH37">
        <v>1.49501542775137E-2</v>
      </c>
      <c r="AI37">
        <v>6.18588520417918E-3</v>
      </c>
      <c r="AJ37">
        <v>7.60218505243103E-3</v>
      </c>
      <c r="AK37">
        <v>6.1276937032567697E-3</v>
      </c>
      <c r="AM37">
        <v>0.93003953876547296</v>
      </c>
      <c r="AN37">
        <v>3.1565590732529902E-2</v>
      </c>
      <c r="AO37">
        <v>2.1588635895234801E-2</v>
      </c>
      <c r="AP37">
        <v>9.0500108883164593E-3</v>
      </c>
      <c r="AQ37">
        <v>1.2223223424909399E-2</v>
      </c>
      <c r="AR37">
        <v>8.2739564351058201E-3</v>
      </c>
      <c r="AT37">
        <f t="shared" si="2"/>
        <v>0.94236979643315943</v>
      </c>
      <c r="AU37">
        <f t="shared" si="3"/>
        <v>2.3765652139180651E-2</v>
      </c>
      <c r="AV37">
        <f t="shared" si="4"/>
        <v>1.8269395086374249E-2</v>
      </c>
      <c r="AW37">
        <f t="shared" si="5"/>
        <v>7.6179480462478192E-3</v>
      </c>
      <c r="AX37">
        <f t="shared" si="6"/>
        <v>9.9127042386702151E-3</v>
      </c>
      <c r="AY37">
        <f t="shared" si="7"/>
        <v>7.2008250691812953E-3</v>
      </c>
      <c r="BH37" s="1">
        <v>79.115885000000006</v>
      </c>
      <c r="BI37" s="1">
        <v>758.38120100000003</v>
      </c>
      <c r="BJ37" s="1">
        <v>57.679504000000001</v>
      </c>
      <c r="BK37" s="1">
        <v>39.368583999999998</v>
      </c>
      <c r="BL37" s="1">
        <v>65.570885000000004</v>
      </c>
      <c r="BM37" s="1">
        <v>0.72950800000000005</v>
      </c>
      <c r="BN37" s="1">
        <v>0.469945</v>
      </c>
      <c r="BO37" s="1">
        <v>44</v>
      </c>
      <c r="BP37" s="1">
        <v>46.362279000000001</v>
      </c>
      <c r="BQ37" s="1">
        <v>66.268877000000003</v>
      </c>
      <c r="BR37" s="1">
        <v>9652.1543249999995</v>
      </c>
      <c r="BS37" s="1">
        <v>0.69960900000000004</v>
      </c>
      <c r="BT37" s="1">
        <v>0</v>
      </c>
      <c r="BU37" s="1">
        <v>2022194.445025</v>
      </c>
      <c r="BV37" s="1">
        <v>233.46043700000001</v>
      </c>
      <c r="BW37" s="1">
        <v>540.94528100000002</v>
      </c>
      <c r="BX37" s="1">
        <v>0.43157899999999999</v>
      </c>
      <c r="BY37" s="1">
        <v>2022968.8507429999</v>
      </c>
      <c r="BZ37" s="1">
        <v>99.961719000000002</v>
      </c>
      <c r="CA37" s="1">
        <v>1.154E-2</v>
      </c>
      <c r="CB37" s="1">
        <v>2.674E-2</v>
      </c>
      <c r="CC37" s="1">
        <v>30.147044999999999</v>
      </c>
      <c r="CD37" s="1">
        <v>69.852954999999994</v>
      </c>
    </row>
    <row r="38" spans="1:82" x14ac:dyDescent="0.4">
      <c r="A38">
        <v>13</v>
      </c>
      <c r="B38" t="s">
        <v>9</v>
      </c>
      <c r="C38">
        <v>1</v>
      </c>
      <c r="D38" s="1">
        <v>4</v>
      </c>
      <c r="E38" s="1">
        <v>7</v>
      </c>
      <c r="F38" s="1">
        <v>46</v>
      </c>
      <c r="G38" s="1" t="s">
        <v>116</v>
      </c>
      <c r="J38">
        <v>412.32521095558798</v>
      </c>
      <c r="K38">
        <v>16.102695958362599</v>
      </c>
      <c r="L38">
        <v>19.276234742604</v>
      </c>
      <c r="M38">
        <v>3.9354803784965098</v>
      </c>
      <c r="N38">
        <v>5.4046406595878196</v>
      </c>
      <c r="O38">
        <v>4.5012563962796399</v>
      </c>
      <c r="Q38">
        <v>202.08968455469599</v>
      </c>
      <c r="R38">
        <v>15.244734903251</v>
      </c>
      <c r="S38">
        <v>22.1369195603408</v>
      </c>
      <c r="T38">
        <v>3.9252241174206799</v>
      </c>
      <c r="U38">
        <v>4.68410777724774</v>
      </c>
      <c r="V38">
        <v>3.4550792808237998</v>
      </c>
      <c r="X38">
        <f t="shared" si="14"/>
        <v>-0.30969574384649556</v>
      </c>
      <c r="Y38">
        <f t="shared" si="15"/>
        <v>-2.3778716267361055E-2</v>
      </c>
      <c r="Z38">
        <f t="shared" si="16"/>
        <v>6.0094980533847986E-2</v>
      </c>
      <c r="AA38">
        <f t="shared" si="17"/>
        <v>-1.1332928543751342E-3</v>
      </c>
      <c r="AB38">
        <f t="shared" si="18"/>
        <v>-6.2139944891999255E-2</v>
      </c>
      <c r="AC38">
        <f t="shared" si="19"/>
        <v>-0.11487573429372622</v>
      </c>
      <c r="AF38">
        <v>0.90224332479889602</v>
      </c>
      <c r="AG38">
        <v>3.5235657567549601E-2</v>
      </c>
      <c r="AH38">
        <v>4.2179943553449901E-2</v>
      </c>
      <c r="AI38">
        <v>8.6115541980719794E-3</v>
      </c>
      <c r="AJ38">
        <v>1.18263468458518E-2</v>
      </c>
      <c r="AK38">
        <v>9.8495760842260902E-3</v>
      </c>
      <c r="AM38">
        <v>0.81742816900181903</v>
      </c>
      <c r="AN38">
        <v>6.1663096591700897E-2</v>
      </c>
      <c r="AO38">
        <v>8.9541144385587704E-2</v>
      </c>
      <c r="AP38">
        <v>1.5877053647221501E-2</v>
      </c>
      <c r="AQ38">
        <v>1.8946645654872599E-2</v>
      </c>
      <c r="AR38">
        <v>1.39753750247234E-2</v>
      </c>
      <c r="AT38">
        <f t="shared" si="2"/>
        <v>0.85983574690035747</v>
      </c>
      <c r="AU38">
        <f t="shared" si="3"/>
        <v>4.8449377079625253E-2</v>
      </c>
      <c r="AV38">
        <f t="shared" si="4"/>
        <v>6.5860543969518806E-2</v>
      </c>
      <c r="AW38">
        <f t="shared" si="5"/>
        <v>1.224430392264674E-2</v>
      </c>
      <c r="AX38">
        <f t="shared" si="6"/>
        <v>1.5386496250362199E-2</v>
      </c>
      <c r="AY38">
        <f t="shared" si="7"/>
        <v>1.1912475554474746E-2</v>
      </c>
      <c r="BH38" s="1">
        <v>80.270696999999998</v>
      </c>
      <c r="BI38" s="1">
        <v>747.47076900000002</v>
      </c>
      <c r="BJ38" s="1">
        <v>73.486638999999997</v>
      </c>
      <c r="BK38" s="1">
        <v>60.181021000000001</v>
      </c>
      <c r="BL38" s="1">
        <v>71.875944000000004</v>
      </c>
      <c r="BM38" s="1">
        <v>0.41434300000000002</v>
      </c>
      <c r="BN38" s="1">
        <v>0.13944200000000001</v>
      </c>
      <c r="BO38" s="1">
        <v>28</v>
      </c>
      <c r="BP38" s="1">
        <v>50.703774000000003</v>
      </c>
      <c r="BQ38" s="1">
        <v>69.758381999999997</v>
      </c>
      <c r="BR38" s="1">
        <v>11111.854812</v>
      </c>
      <c r="BS38" s="1">
        <v>0.72684800000000005</v>
      </c>
      <c r="BT38" s="1">
        <v>0.13333300000000001</v>
      </c>
      <c r="BU38" s="1">
        <v>439.18736200000001</v>
      </c>
      <c r="BV38" s="1">
        <v>1345.642175</v>
      </c>
      <c r="BW38" s="1">
        <v>1155.884808</v>
      </c>
      <c r="BX38" s="1">
        <v>1.164166</v>
      </c>
      <c r="BY38" s="1">
        <v>2940.7143449999999</v>
      </c>
      <c r="BZ38" s="1">
        <v>14.934716999999999</v>
      </c>
      <c r="CA38" s="1">
        <v>45.759023999999997</v>
      </c>
      <c r="CB38" s="1">
        <v>39.306258999999997</v>
      </c>
      <c r="CC38" s="1">
        <v>53.792831</v>
      </c>
      <c r="CD38" s="1">
        <v>46.207169</v>
      </c>
    </row>
    <row r="39" spans="1:82" x14ac:dyDescent="0.4">
      <c r="A39">
        <v>13</v>
      </c>
      <c r="B39" t="s">
        <v>10</v>
      </c>
      <c r="C39">
        <v>2</v>
      </c>
      <c r="D39" s="1">
        <v>6</v>
      </c>
      <c r="E39" s="1">
        <v>4</v>
      </c>
      <c r="F39" s="1">
        <v>46</v>
      </c>
      <c r="J39">
        <v>315.68540327278703</v>
      </c>
      <c r="K39">
        <v>11.8588825254959</v>
      </c>
      <c r="L39">
        <v>13.292328923980399</v>
      </c>
      <c r="M39">
        <v>4.3364355360131697</v>
      </c>
      <c r="N39">
        <v>6.3700336969095304</v>
      </c>
      <c r="O39">
        <v>4.59009252795755</v>
      </c>
      <c r="Q39">
        <v>201.72126581348701</v>
      </c>
      <c r="R39">
        <v>10.560084987844</v>
      </c>
      <c r="S39">
        <v>13.8383292858391</v>
      </c>
      <c r="T39">
        <v>4.14679622249853</v>
      </c>
      <c r="U39">
        <v>4.9270805119343102</v>
      </c>
      <c r="V39">
        <v>3.8379238326307199</v>
      </c>
      <c r="X39">
        <f t="shared" si="14"/>
        <v>-0.19450281663751667</v>
      </c>
      <c r="Y39">
        <f t="shared" si="15"/>
        <v>-5.0376353522284756E-2</v>
      </c>
      <c r="Z39">
        <f t="shared" si="16"/>
        <v>1.7482580985502372E-2</v>
      </c>
      <c r="AA39">
        <f t="shared" si="17"/>
        <v>-1.9420200453750924E-2</v>
      </c>
      <c r="AB39">
        <f t="shared" si="18"/>
        <v>-0.11155207071262929</v>
      </c>
      <c r="AC39">
        <f t="shared" si="19"/>
        <v>-7.7725088731923742E-2</v>
      </c>
      <c r="AF39">
        <v>0.89480413260823599</v>
      </c>
      <c r="AG39">
        <v>3.3613771754786997E-2</v>
      </c>
      <c r="AH39">
        <v>3.7676847677648E-2</v>
      </c>
      <c r="AI39">
        <v>1.22915421434954E-2</v>
      </c>
      <c r="AJ39">
        <v>1.8055736558471799E-2</v>
      </c>
      <c r="AK39">
        <v>1.3010527951213199E-2</v>
      </c>
      <c r="AM39">
        <v>0.85725978756252197</v>
      </c>
      <c r="AN39">
        <v>4.4877450955971801E-2</v>
      </c>
      <c r="AO39">
        <v>5.8809085774661499E-2</v>
      </c>
      <c r="AP39">
        <v>1.76227411345466E-2</v>
      </c>
      <c r="AQ39">
        <v>2.09387343269479E-2</v>
      </c>
      <c r="AR39">
        <v>1.6310118599415301E-2</v>
      </c>
      <c r="AT39">
        <f t="shared" si="2"/>
        <v>0.87603196008537898</v>
      </c>
      <c r="AU39">
        <f t="shared" si="3"/>
        <v>3.9245611355379399E-2</v>
      </c>
      <c r="AV39">
        <f t="shared" si="4"/>
        <v>4.8242966726154746E-2</v>
      </c>
      <c r="AW39">
        <f t="shared" si="5"/>
        <v>1.4957141639020999E-2</v>
      </c>
      <c r="AX39">
        <f t="shared" si="6"/>
        <v>1.949723544270985E-2</v>
      </c>
      <c r="AY39">
        <f t="shared" si="7"/>
        <v>1.466032327531425E-2</v>
      </c>
      <c r="BH39" s="1">
        <v>73.309921000000003</v>
      </c>
      <c r="BI39" s="1">
        <v>818.44311400000004</v>
      </c>
      <c r="BJ39" s="1">
        <v>74.544332999999995</v>
      </c>
      <c r="BK39" s="1">
        <v>51.504218000000002</v>
      </c>
      <c r="BL39" s="1">
        <v>60.791114999999998</v>
      </c>
      <c r="BM39" s="1">
        <v>0.43119299999999999</v>
      </c>
      <c r="BN39" s="1">
        <v>9.1743000000000005E-2</v>
      </c>
      <c r="BO39" s="1">
        <v>24</v>
      </c>
      <c r="BP39" s="1">
        <v>41.899869000000002</v>
      </c>
      <c r="BQ39" s="1">
        <v>43.509473999999997</v>
      </c>
      <c r="BR39" s="1">
        <v>5727.2530230000002</v>
      </c>
      <c r="BS39" s="1">
        <v>0.96300600000000003</v>
      </c>
      <c r="BT39" s="1">
        <v>0.26666699999999999</v>
      </c>
      <c r="BU39" s="1">
        <v>198.71730099999999</v>
      </c>
      <c r="BV39" s="1">
        <v>670.15672700000005</v>
      </c>
      <c r="BW39" s="1">
        <v>1889.348137</v>
      </c>
      <c r="BX39" s="1">
        <v>0.35470299999999999</v>
      </c>
      <c r="BY39" s="1">
        <v>2758.2221650000001</v>
      </c>
      <c r="BZ39" s="1">
        <v>7.2045430000000001</v>
      </c>
      <c r="CA39" s="1">
        <v>24.296690999999999</v>
      </c>
      <c r="CB39" s="1">
        <v>68.498766000000003</v>
      </c>
      <c r="CC39" s="1">
        <v>26.183060999999999</v>
      </c>
      <c r="CD39" s="1">
        <v>73.816939000000005</v>
      </c>
    </row>
    <row r="40" spans="1:82" x14ac:dyDescent="0.4">
      <c r="A40">
        <v>13</v>
      </c>
      <c r="B40" t="s">
        <v>11</v>
      </c>
      <c r="C40">
        <v>3</v>
      </c>
      <c r="D40" s="1">
        <v>5</v>
      </c>
      <c r="E40" s="1">
        <v>7</v>
      </c>
      <c r="F40" s="1">
        <v>46</v>
      </c>
      <c r="J40">
        <v>562.53747548339595</v>
      </c>
      <c r="K40">
        <v>13.338897204482301</v>
      </c>
      <c r="L40">
        <v>18.395625247121501</v>
      </c>
      <c r="M40">
        <v>3.2770065013079201</v>
      </c>
      <c r="N40">
        <v>3.1212717039637798</v>
      </c>
      <c r="O40">
        <v>2.7067510522685301</v>
      </c>
      <c r="Q40">
        <v>702.62204795904699</v>
      </c>
      <c r="R40">
        <v>14.3743541812198</v>
      </c>
      <c r="S40">
        <v>17.891723485231001</v>
      </c>
      <c r="T40">
        <v>2.7338047390254401</v>
      </c>
      <c r="U40">
        <v>2.0792746128841402</v>
      </c>
      <c r="V40">
        <v>1.7886708557267199</v>
      </c>
      <c r="X40">
        <f t="shared" si="14"/>
        <v>9.6570313776064953E-2</v>
      </c>
      <c r="Y40">
        <f t="shared" si="15"/>
        <v>3.2468415884919777E-2</v>
      </c>
      <c r="Z40">
        <f t="shared" si="16"/>
        <v>-1.2062376035629763E-2</v>
      </c>
      <c r="AA40">
        <f t="shared" si="17"/>
        <v>-7.8709810967697025E-2</v>
      </c>
      <c r="AB40">
        <f t="shared" si="18"/>
        <v>-0.17641972422827779</v>
      </c>
      <c r="AC40">
        <f t="shared" si="19"/>
        <v>-0.17991788355287403</v>
      </c>
      <c r="AF40">
        <v>0.93945577984463802</v>
      </c>
      <c r="AG40">
        <v>2.2276389790273299E-2</v>
      </c>
      <c r="AH40">
        <v>3.0721289185958199E-2</v>
      </c>
      <c r="AI40">
        <v>5.4727068549463298E-3</v>
      </c>
      <c r="AJ40">
        <v>5.21262470599765E-3</v>
      </c>
      <c r="AK40">
        <v>4.5203618096182801E-3</v>
      </c>
      <c r="AM40">
        <v>0.95447517746027899</v>
      </c>
      <c r="AN40">
        <v>1.9526805766841401E-2</v>
      </c>
      <c r="AO40">
        <v>2.4304967369357999E-2</v>
      </c>
      <c r="AP40">
        <v>3.7137302636639502E-3</v>
      </c>
      <c r="AQ40">
        <v>2.82458543805463E-3</v>
      </c>
      <c r="AR40">
        <v>2.4298154852910401E-3</v>
      </c>
      <c r="AT40">
        <f t="shared" si="2"/>
        <v>0.9469654786524585</v>
      </c>
      <c r="AU40">
        <f t="shared" si="3"/>
        <v>2.0901597778557351E-2</v>
      </c>
      <c r="AV40">
        <f t="shared" si="4"/>
        <v>2.7513128277658099E-2</v>
      </c>
      <c r="AW40">
        <f t="shared" si="5"/>
        <v>4.59321855930514E-3</v>
      </c>
      <c r="AX40">
        <f t="shared" si="6"/>
        <v>4.01860507202614E-3</v>
      </c>
      <c r="AY40">
        <f t="shared" si="7"/>
        <v>3.4750886474546601E-3</v>
      </c>
      <c r="BH40" s="1">
        <v>77.326121999999998</v>
      </c>
      <c r="BI40" s="1">
        <v>775.93442600000003</v>
      </c>
      <c r="BJ40" s="1">
        <v>72.040031999999997</v>
      </c>
      <c r="BK40" s="1">
        <v>47.355471000000001</v>
      </c>
      <c r="BL40" s="1">
        <v>63.124445999999999</v>
      </c>
      <c r="BM40" s="1">
        <v>0.65217400000000003</v>
      </c>
      <c r="BN40" s="1">
        <v>0.161491</v>
      </c>
      <c r="BO40" s="1">
        <v>40</v>
      </c>
      <c r="BP40" s="1">
        <v>44.306545</v>
      </c>
      <c r="BQ40" s="1">
        <v>64.168944999999994</v>
      </c>
      <c r="BR40" s="1">
        <v>8931.8754349999999</v>
      </c>
      <c r="BS40" s="1">
        <v>0.69046700000000005</v>
      </c>
      <c r="BT40" s="1">
        <v>0.26666699999999999</v>
      </c>
      <c r="BU40" s="1">
        <v>410.02060499999999</v>
      </c>
      <c r="BV40" s="1">
        <v>798.55142499999999</v>
      </c>
      <c r="BW40" s="1">
        <v>1522.3420160000001</v>
      </c>
      <c r="BX40" s="1">
        <v>0.52455499999999999</v>
      </c>
      <c r="BY40" s="1">
        <v>2730.9140470000002</v>
      </c>
      <c r="BZ40" s="1">
        <v>15.014042999999999</v>
      </c>
      <c r="CA40" s="1">
        <v>29.241178000000001</v>
      </c>
      <c r="CB40" s="1">
        <v>55.744779999999999</v>
      </c>
      <c r="CC40" s="1">
        <v>34.407069999999997</v>
      </c>
      <c r="CD40" s="1">
        <v>65.592929999999996</v>
      </c>
    </row>
    <row r="41" spans="1:82" x14ac:dyDescent="0.4">
      <c r="A41">
        <v>14</v>
      </c>
      <c r="B41" t="s">
        <v>12</v>
      </c>
      <c r="C41">
        <v>1</v>
      </c>
      <c r="D41" s="1">
        <v>8</v>
      </c>
      <c r="E41" s="1">
        <v>10</v>
      </c>
      <c r="F41" s="1">
        <v>6</v>
      </c>
      <c r="G41" s="1" t="s">
        <v>110</v>
      </c>
      <c r="J41">
        <v>758.90746822088704</v>
      </c>
      <c r="K41">
        <v>12.5184656625204</v>
      </c>
      <c r="L41">
        <v>11.129911375071099</v>
      </c>
      <c r="M41">
        <v>2.5238255220940702</v>
      </c>
      <c r="N41">
        <v>2.5168782917508898</v>
      </c>
      <c r="O41">
        <v>1.315450814256</v>
      </c>
      <c r="Q41">
        <v>355.9929489223</v>
      </c>
      <c r="R41">
        <v>14.5527848332415</v>
      </c>
      <c r="S41">
        <v>10.5893780189033</v>
      </c>
      <c r="T41">
        <v>2.07449635021477</v>
      </c>
      <c r="U41">
        <v>2.4165701962152299</v>
      </c>
      <c r="V41">
        <v>1.3167633698467001</v>
      </c>
      <c r="X41">
        <f t="shared" si="14"/>
        <v>-0.32874743055383915</v>
      </c>
      <c r="Y41">
        <f t="shared" si="15"/>
        <v>6.539500580893387E-2</v>
      </c>
      <c r="Z41">
        <f t="shared" si="16"/>
        <v>-2.1621254164320591E-2</v>
      </c>
      <c r="AA41">
        <f t="shared" si="17"/>
        <v>-8.5146652740617168E-2</v>
      </c>
      <c r="AB41">
        <f t="shared" si="18"/>
        <v>-1.7662799965344922E-2</v>
      </c>
      <c r="AC41">
        <f t="shared" si="19"/>
        <v>4.3312257864273895E-4</v>
      </c>
      <c r="AF41">
        <v>0.96628861997739701</v>
      </c>
      <c r="AG41">
        <v>1.5939296180111501E-2</v>
      </c>
      <c r="AH41">
        <v>1.4171301711262E-2</v>
      </c>
      <c r="AI41">
        <v>3.2134930580208698E-3</v>
      </c>
      <c r="AJ41">
        <v>3.20464740831773E-3</v>
      </c>
      <c r="AK41">
        <v>1.67491453857403E-3</v>
      </c>
      <c r="AM41">
        <v>0.93029712961021704</v>
      </c>
      <c r="AN41">
        <v>3.8030005929006599E-2</v>
      </c>
      <c r="AO41">
        <v>2.76726491498386E-2</v>
      </c>
      <c r="AP41">
        <v>5.4211691715638404E-3</v>
      </c>
      <c r="AQ41">
        <v>6.3150922619293502E-3</v>
      </c>
      <c r="AR41">
        <v>3.4410265345217001E-3</v>
      </c>
      <c r="AT41">
        <f t="shared" si="2"/>
        <v>0.94829287479380708</v>
      </c>
      <c r="AU41">
        <f t="shared" si="3"/>
        <v>2.698465105455905E-2</v>
      </c>
      <c r="AV41">
        <f t="shared" si="4"/>
        <v>2.0921975430550299E-2</v>
      </c>
      <c r="AW41">
        <f t="shared" si="5"/>
        <v>4.3173311147923551E-3</v>
      </c>
      <c r="AX41">
        <f t="shared" si="6"/>
        <v>4.7598698351235397E-3</v>
      </c>
      <c r="AY41">
        <f t="shared" si="7"/>
        <v>2.5579705365478649E-3</v>
      </c>
      <c r="BH41" s="1">
        <v>198.18188799999999</v>
      </c>
      <c r="BI41" s="1">
        <v>302.75218699999999</v>
      </c>
      <c r="BJ41" s="1">
        <v>190.19604699999999</v>
      </c>
      <c r="BK41" s="1">
        <v>162.90419800000001</v>
      </c>
      <c r="BL41" s="1">
        <v>309.07629400000002</v>
      </c>
      <c r="BM41" s="1">
        <v>0.94660200000000005</v>
      </c>
      <c r="BN41" s="1">
        <v>0.89805800000000002</v>
      </c>
      <c r="BO41" s="1">
        <v>148</v>
      </c>
      <c r="BP41" s="1">
        <v>216.05767800000001</v>
      </c>
      <c r="BQ41" s="1">
        <v>145.06076400000001</v>
      </c>
      <c r="BR41" s="1">
        <v>98462.200161999994</v>
      </c>
      <c r="BS41" s="1">
        <v>1.4894289999999999</v>
      </c>
      <c r="BT41" s="1">
        <v>0.16666700000000001</v>
      </c>
      <c r="BU41" s="1">
        <v>429.16705999999999</v>
      </c>
      <c r="BV41" s="1">
        <v>1508.428838</v>
      </c>
      <c r="BW41" s="1">
        <v>9020.2427740000003</v>
      </c>
      <c r="BX41" s="1">
        <v>0.16722699999999999</v>
      </c>
      <c r="BY41" s="1">
        <v>10957.838671</v>
      </c>
      <c r="BZ41" s="1">
        <v>3.9165299999999998</v>
      </c>
      <c r="CA41" s="1">
        <v>13.765751</v>
      </c>
      <c r="CB41" s="1">
        <v>82.317717999999999</v>
      </c>
      <c r="CC41" s="1">
        <v>14.326867999999999</v>
      </c>
      <c r="CD41" s="1">
        <v>85.673131999999995</v>
      </c>
    </row>
    <row r="42" spans="1:82" x14ac:dyDescent="0.4">
      <c r="A42">
        <v>14</v>
      </c>
      <c r="B42" t="s">
        <v>13</v>
      </c>
      <c r="C42">
        <v>2</v>
      </c>
      <c r="D42" s="1">
        <v>8</v>
      </c>
      <c r="E42" s="1">
        <v>10</v>
      </c>
      <c r="F42" s="1">
        <v>6</v>
      </c>
      <c r="J42">
        <v>1126.7951309794601</v>
      </c>
      <c r="K42">
        <v>13.368087813820001</v>
      </c>
      <c r="L42">
        <v>11.5216788452434</v>
      </c>
      <c r="M42">
        <v>3.6116068262768999</v>
      </c>
      <c r="N42">
        <v>3.8345076884804001</v>
      </c>
      <c r="O42">
        <v>2.3035014023659999</v>
      </c>
      <c r="Q42">
        <v>1043.9253916282601</v>
      </c>
      <c r="R42">
        <v>12.449757668627299</v>
      </c>
      <c r="S42">
        <v>9.5596801142189296</v>
      </c>
      <c r="T42">
        <v>2.95081056890041</v>
      </c>
      <c r="U42">
        <v>3.5188196882607499</v>
      </c>
      <c r="V42">
        <v>2.9155985153181798</v>
      </c>
      <c r="X42">
        <f t="shared" si="14"/>
        <v>-3.317550052309004E-2</v>
      </c>
      <c r="Y42">
        <f t="shared" si="15"/>
        <v>-3.0908391655653844E-2</v>
      </c>
      <c r="Z42">
        <f t="shared" si="16"/>
        <v>-8.1072405386459656E-2</v>
      </c>
      <c r="AA42">
        <f t="shared" si="17"/>
        <v>-8.7759134910392556E-2</v>
      </c>
      <c r="AB42">
        <f t="shared" si="18"/>
        <v>-3.731259965957745E-2</v>
      </c>
      <c r="AC42">
        <f t="shared" si="19"/>
        <v>0.10233923941886613</v>
      </c>
      <c r="AF42">
        <v>0.97387054211637203</v>
      </c>
      <c r="AG42">
        <v>1.15538189404382E-2</v>
      </c>
      <c r="AH42">
        <v>9.9579979666351605E-3</v>
      </c>
      <c r="AI42">
        <v>3.12145251706947E-3</v>
      </c>
      <c r="AJ42">
        <v>3.3141020746901501E-3</v>
      </c>
      <c r="AK42">
        <v>1.9908784638943198E-3</v>
      </c>
      <c r="AM42">
        <v>0.97441408629065196</v>
      </c>
      <c r="AN42">
        <v>1.1620772270223199E-2</v>
      </c>
      <c r="AO42">
        <v>8.9231347742182998E-3</v>
      </c>
      <c r="AP42">
        <v>2.75432651353287E-3</v>
      </c>
      <c r="AQ42">
        <v>3.2845139114876E-3</v>
      </c>
      <c r="AR42">
        <v>2.7214591062517499E-3</v>
      </c>
      <c r="AT42">
        <f t="shared" si="2"/>
        <v>0.97414231420351194</v>
      </c>
      <c r="AU42">
        <f t="shared" si="3"/>
        <v>1.15872956053307E-2</v>
      </c>
      <c r="AV42">
        <f t="shared" si="4"/>
        <v>9.4405663704267302E-3</v>
      </c>
      <c r="AW42">
        <f t="shared" si="5"/>
        <v>2.9378895153011697E-3</v>
      </c>
      <c r="AX42">
        <f t="shared" si="6"/>
        <v>3.299307993088875E-3</v>
      </c>
      <c r="AY42">
        <f t="shared" si="7"/>
        <v>2.3561687850730349E-3</v>
      </c>
      <c r="BH42" s="1">
        <v>177.74699899999999</v>
      </c>
      <c r="BI42" s="1">
        <v>337.55844200000001</v>
      </c>
      <c r="BJ42" s="1">
        <v>216.73003700000001</v>
      </c>
      <c r="BK42" s="1">
        <v>174.58309800000001</v>
      </c>
      <c r="BL42" s="1">
        <v>356.13944099999998</v>
      </c>
      <c r="BM42" s="1">
        <v>0.93650800000000001</v>
      </c>
      <c r="BN42" s="1">
        <v>0.91269800000000001</v>
      </c>
      <c r="BO42" s="1">
        <v>160</v>
      </c>
      <c r="BP42" s="1">
        <v>250.91639799999999</v>
      </c>
      <c r="BQ42" s="1">
        <v>154.46474000000001</v>
      </c>
      <c r="BR42" s="1">
        <v>121761.01929</v>
      </c>
      <c r="BS42" s="1">
        <v>1.624425</v>
      </c>
      <c r="BT42" s="1">
        <v>0.16666700000000001</v>
      </c>
      <c r="BU42" s="1">
        <v>1248.698067</v>
      </c>
      <c r="BV42" s="1">
        <v>3068.9295010000001</v>
      </c>
      <c r="BW42" s="1">
        <v>3632.94445</v>
      </c>
      <c r="BX42" s="1">
        <v>0.84475</v>
      </c>
      <c r="BY42" s="1">
        <v>7950.5720190000002</v>
      </c>
      <c r="BZ42" s="1">
        <v>15.705764</v>
      </c>
      <c r="CA42" s="1">
        <v>38.600109000000003</v>
      </c>
      <c r="CB42" s="1">
        <v>45.694127000000002</v>
      </c>
      <c r="CC42" s="1">
        <v>45.792110000000001</v>
      </c>
      <c r="CD42" s="1">
        <v>54.207889999999999</v>
      </c>
    </row>
    <row r="43" spans="1:82" x14ac:dyDescent="0.4">
      <c r="A43">
        <v>14</v>
      </c>
      <c r="B43" t="s">
        <v>14</v>
      </c>
      <c r="C43">
        <v>3</v>
      </c>
      <c r="D43" s="1">
        <v>8</v>
      </c>
      <c r="E43" s="1">
        <v>10</v>
      </c>
      <c r="F43" s="1">
        <v>6</v>
      </c>
      <c r="J43">
        <v>151.14758639534099</v>
      </c>
      <c r="K43">
        <v>7.8280451686370798</v>
      </c>
      <c r="L43">
        <v>8.4751151707146803</v>
      </c>
      <c r="M43">
        <v>2.0931999130017398</v>
      </c>
      <c r="N43">
        <v>2.7224955768563999</v>
      </c>
      <c r="O43">
        <v>0.95282953796526504</v>
      </c>
      <c r="Q43">
        <v>239.837038921995</v>
      </c>
      <c r="R43">
        <v>8.0687626952129197</v>
      </c>
      <c r="S43">
        <v>7.2856455625007701</v>
      </c>
      <c r="T43">
        <v>1.9978055999756701</v>
      </c>
      <c r="U43">
        <v>2.5397249566845201</v>
      </c>
      <c r="V43">
        <v>1.0563040612268599</v>
      </c>
      <c r="X43">
        <f t="shared" si="14"/>
        <v>0.20051503712217489</v>
      </c>
      <c r="Y43">
        <f t="shared" si="15"/>
        <v>1.3153620002723465E-2</v>
      </c>
      <c r="Z43">
        <f t="shared" si="16"/>
        <v>-6.5677569125492608E-2</v>
      </c>
      <c r="AA43">
        <f t="shared" si="17"/>
        <v>-2.0257481867799354E-2</v>
      </c>
      <c r="AB43">
        <f t="shared" si="18"/>
        <v>-3.0180496249745614E-2</v>
      </c>
      <c r="AC43">
        <f t="shared" si="19"/>
        <v>4.4773737621407045E-2</v>
      </c>
      <c r="AF43">
        <v>0.88426871857184797</v>
      </c>
      <c r="AG43">
        <v>4.5796930240671101E-2</v>
      </c>
      <c r="AH43">
        <v>4.9582526658114703E-2</v>
      </c>
      <c r="AI43">
        <v>1.22459858534784E-2</v>
      </c>
      <c r="AJ43">
        <v>1.5927595884776401E-2</v>
      </c>
      <c r="AK43">
        <v>5.5744016470773098E-3</v>
      </c>
      <c r="AM43">
        <v>0.928952980954179</v>
      </c>
      <c r="AN43">
        <v>3.1252475397545901E-2</v>
      </c>
      <c r="AO43">
        <v>2.8219253347527899E-2</v>
      </c>
      <c r="AP43">
        <v>7.73803527514346E-3</v>
      </c>
      <c r="AQ43">
        <v>9.8370338456486208E-3</v>
      </c>
      <c r="AR43">
        <v>4.0913480706782999E-3</v>
      </c>
      <c r="AT43">
        <f t="shared" si="2"/>
        <v>0.90661084976301343</v>
      </c>
      <c r="AU43">
        <f t="shared" si="3"/>
        <v>3.8524702819108497E-2</v>
      </c>
      <c r="AV43">
        <f t="shared" si="4"/>
        <v>3.8900890002821299E-2</v>
      </c>
      <c r="AW43">
        <f t="shared" si="5"/>
        <v>9.9920105643109304E-3</v>
      </c>
      <c r="AX43">
        <f t="shared" si="6"/>
        <v>1.2882314865212512E-2</v>
      </c>
      <c r="AY43">
        <f t="shared" si="7"/>
        <v>4.8328748588778048E-3</v>
      </c>
      <c r="BH43" s="1">
        <v>181.16587899999999</v>
      </c>
      <c r="BI43" s="1">
        <v>331.18819200000002</v>
      </c>
      <c r="BJ43" s="1">
        <v>206.89770899999999</v>
      </c>
      <c r="BK43" s="1">
        <v>170.42918399999999</v>
      </c>
      <c r="BL43" s="1">
        <v>336.06896799999998</v>
      </c>
      <c r="BM43" s="1">
        <v>0.94545500000000005</v>
      </c>
      <c r="BN43" s="1">
        <v>0.86060599999999998</v>
      </c>
      <c r="BO43" s="1">
        <v>176</v>
      </c>
      <c r="BP43" s="1">
        <v>235.51572300000001</v>
      </c>
      <c r="BQ43" s="1">
        <v>160.420467</v>
      </c>
      <c r="BR43" s="1">
        <v>118694.215469</v>
      </c>
      <c r="BS43" s="1">
        <v>1.4681150000000001</v>
      </c>
      <c r="BT43" s="1">
        <v>0.23333300000000001</v>
      </c>
      <c r="BU43" s="1">
        <v>76.587429999999998</v>
      </c>
      <c r="BV43" s="1">
        <v>2869.8208880000002</v>
      </c>
      <c r="BW43" s="1">
        <v>8213.6797979999992</v>
      </c>
      <c r="BX43" s="1">
        <v>0.34939500000000001</v>
      </c>
      <c r="BY43" s="1">
        <v>11160.088116000001</v>
      </c>
      <c r="BZ43" s="1">
        <v>0.68626200000000004</v>
      </c>
      <c r="CA43" s="1">
        <v>25.715038</v>
      </c>
      <c r="CB43" s="1">
        <v>73.598699999999994</v>
      </c>
      <c r="CC43" s="1">
        <v>25.89273</v>
      </c>
      <c r="CD43" s="1">
        <v>74.10727</v>
      </c>
    </row>
    <row r="44" spans="1:82" x14ac:dyDescent="0.4">
      <c r="A44">
        <v>15</v>
      </c>
      <c r="B44" t="s">
        <v>15</v>
      </c>
      <c r="C44">
        <v>1</v>
      </c>
      <c r="D44" s="1">
        <v>5</v>
      </c>
      <c r="E44" s="1">
        <v>5</v>
      </c>
      <c r="F44" s="1">
        <v>14</v>
      </c>
      <c r="G44" s="1" t="s">
        <v>110</v>
      </c>
      <c r="J44">
        <v>409.0138571384</v>
      </c>
      <c r="K44">
        <v>14.285066910808199</v>
      </c>
      <c r="L44">
        <v>8.6248700388865398</v>
      </c>
      <c r="M44">
        <v>2.3979605578426599</v>
      </c>
      <c r="N44">
        <v>5.4850762823793104</v>
      </c>
      <c r="O44">
        <v>3.70657712963366</v>
      </c>
      <c r="Q44">
        <v>295.96375173481402</v>
      </c>
      <c r="R44">
        <v>12.3442183976516</v>
      </c>
      <c r="S44">
        <v>7.8244345927662904</v>
      </c>
      <c r="T44">
        <v>1.9505248018363199</v>
      </c>
      <c r="U44">
        <v>3.1352128523822702</v>
      </c>
      <c r="V44">
        <v>1.75714119484602</v>
      </c>
      <c r="X44">
        <f t="shared" si="14"/>
        <v>-0.14049949794140826</v>
      </c>
      <c r="Y44">
        <f t="shared" si="15"/>
        <v>-6.341868215273605E-2</v>
      </c>
      <c r="Z44">
        <f t="shared" si="16"/>
        <v>-4.2299595287473513E-2</v>
      </c>
      <c r="AA44">
        <f t="shared" si="17"/>
        <v>-8.969055851436164E-2</v>
      </c>
      <c r="AB44">
        <f t="shared" si="18"/>
        <v>-0.24291564099343982</v>
      </c>
      <c r="AC44">
        <f t="shared" si="19"/>
        <v>-0.32416638115102692</v>
      </c>
      <c r="AF44">
        <v>0.93203748535942299</v>
      </c>
      <c r="AG44">
        <v>3.2551996978516899E-2</v>
      </c>
      <c r="AH44">
        <v>1.9653862680441E-2</v>
      </c>
      <c r="AI44">
        <v>5.4643359615233799E-3</v>
      </c>
      <c r="AJ44">
        <v>1.24990794712942E-2</v>
      </c>
      <c r="AK44">
        <v>8.4463368829715106E-3</v>
      </c>
      <c r="AM44">
        <v>0.92849154470873196</v>
      </c>
      <c r="AN44">
        <v>3.8726034323713798E-2</v>
      </c>
      <c r="AO44">
        <v>2.45466592409582E-2</v>
      </c>
      <c r="AP44">
        <v>6.1191472794695804E-3</v>
      </c>
      <c r="AQ44">
        <v>9.8357268659960105E-3</v>
      </c>
      <c r="AR44">
        <v>5.5124681070260299E-3</v>
      </c>
      <c r="AT44">
        <f t="shared" si="2"/>
        <v>0.93026451503407748</v>
      </c>
      <c r="AU44">
        <f t="shared" si="3"/>
        <v>3.5639015651115352E-2</v>
      </c>
      <c r="AV44">
        <f t="shared" si="4"/>
        <v>2.21002609606996E-2</v>
      </c>
      <c r="AW44">
        <f t="shared" si="5"/>
        <v>5.7917416204964801E-3</v>
      </c>
      <c r="AX44">
        <f t="shared" si="6"/>
        <v>1.1167403168645104E-2</v>
      </c>
      <c r="AY44">
        <f t="shared" si="7"/>
        <v>6.9794024949987703E-3</v>
      </c>
      <c r="BH44" s="1">
        <v>99.086718000000005</v>
      </c>
      <c r="BI44" s="1">
        <v>605.53020100000003</v>
      </c>
      <c r="BJ44" s="1">
        <v>219.781757</v>
      </c>
      <c r="BK44" s="1">
        <v>166.53729899999999</v>
      </c>
      <c r="BL44" s="1">
        <v>268.14317799999998</v>
      </c>
      <c r="BM44" s="1">
        <v>0.70786499999999997</v>
      </c>
      <c r="BN44" s="1">
        <v>0.59550599999999998</v>
      </c>
      <c r="BO44" s="1">
        <v>156</v>
      </c>
      <c r="BP44" s="1">
        <v>183.214507</v>
      </c>
      <c r="BQ44" s="1">
        <v>262.041358</v>
      </c>
      <c r="BR44" s="1">
        <v>150827.16688199999</v>
      </c>
      <c r="BS44" s="1">
        <v>0.69918199999999997</v>
      </c>
      <c r="BT44" s="1">
        <v>0.2</v>
      </c>
      <c r="BU44" s="1">
        <v>1943.769544</v>
      </c>
      <c r="BV44" s="1">
        <v>15282.431556</v>
      </c>
      <c r="BW44" s="1">
        <v>10438.949253999999</v>
      </c>
      <c r="BX44" s="1">
        <v>1.4639819999999999</v>
      </c>
      <c r="BY44" s="1">
        <v>27665.150353000001</v>
      </c>
      <c r="BZ44" s="1">
        <v>7.0260579999999999</v>
      </c>
      <c r="CA44" s="1">
        <v>55.240732000000001</v>
      </c>
      <c r="CB44" s="1">
        <v>37.73321</v>
      </c>
      <c r="CC44" s="1">
        <v>59.415284</v>
      </c>
      <c r="CD44" s="1">
        <v>40.584716</v>
      </c>
    </row>
    <row r="45" spans="1:82" x14ac:dyDescent="0.4">
      <c r="A45">
        <v>15</v>
      </c>
      <c r="B45" t="s">
        <v>16</v>
      </c>
      <c r="C45">
        <v>2</v>
      </c>
      <c r="D45" s="1">
        <v>5</v>
      </c>
      <c r="E45" s="1">
        <v>7</v>
      </c>
      <c r="F45" s="1">
        <v>14</v>
      </c>
      <c r="J45">
        <v>429.00032139895001</v>
      </c>
      <c r="K45">
        <v>16.4449747856005</v>
      </c>
      <c r="L45">
        <v>15.197689212231699</v>
      </c>
      <c r="M45">
        <v>2.3462666498236202</v>
      </c>
      <c r="N45">
        <v>5.3526656834004704</v>
      </c>
      <c r="O45">
        <v>3.68531191253035</v>
      </c>
      <c r="Q45">
        <v>546.92807473692199</v>
      </c>
      <c r="R45">
        <v>16.9266595034197</v>
      </c>
      <c r="S45">
        <v>16.818299341131301</v>
      </c>
      <c r="T45">
        <v>2.5586622919628002</v>
      </c>
      <c r="U45">
        <v>2.6488135935942099</v>
      </c>
      <c r="V45">
        <v>1.5731821884738599</v>
      </c>
      <c r="X45">
        <f t="shared" si="14"/>
        <v>0.10547259946212328</v>
      </c>
      <c r="Y45">
        <f t="shared" si="15"/>
        <v>1.2538046094192401E-2</v>
      </c>
      <c r="Z45">
        <f t="shared" si="16"/>
        <v>4.4004518934294357E-2</v>
      </c>
      <c r="AA45">
        <f t="shared" si="17"/>
        <v>3.7635601277736297E-2</v>
      </c>
      <c r="AB45">
        <f t="shared" si="18"/>
        <v>-0.30551872255165036</v>
      </c>
      <c r="AC45">
        <f t="shared" si="19"/>
        <v>-0.36969523029448581</v>
      </c>
      <c r="AF45">
        <v>0.92027123512683295</v>
      </c>
      <c r="AG45">
        <v>3.5276983495544902E-2</v>
      </c>
      <c r="AH45">
        <v>3.2601365371490901E-2</v>
      </c>
      <c r="AI45">
        <v>5.0331004432095103E-3</v>
      </c>
      <c r="AJ45">
        <v>1.14822857092993E-2</v>
      </c>
      <c r="AK45">
        <v>7.9055571205924793E-3</v>
      </c>
      <c r="AM45">
        <v>0.94150160902423596</v>
      </c>
      <c r="AN45">
        <v>2.9138158917039698E-2</v>
      </c>
      <c r="AO45">
        <v>2.8951623846230502E-2</v>
      </c>
      <c r="AP45">
        <v>4.4045730619905804E-3</v>
      </c>
      <c r="AQ45">
        <v>4.5597627468178404E-3</v>
      </c>
      <c r="AR45">
        <v>2.7081322575164199E-3</v>
      </c>
      <c r="AT45">
        <f t="shared" si="2"/>
        <v>0.9308864220755344</v>
      </c>
      <c r="AU45">
        <f t="shared" si="3"/>
        <v>3.22075712062923E-2</v>
      </c>
      <c r="AV45">
        <f t="shared" si="4"/>
        <v>3.0776494608860699E-2</v>
      </c>
      <c r="AW45">
        <f t="shared" si="5"/>
        <v>4.7188367526000453E-3</v>
      </c>
      <c r="AX45">
        <f t="shared" si="6"/>
        <v>8.0210242280585702E-3</v>
      </c>
      <c r="AY45">
        <f t="shared" si="7"/>
        <v>5.3068446890544496E-3</v>
      </c>
      <c r="BH45" s="1">
        <v>77.541064000000006</v>
      </c>
      <c r="BI45" s="1">
        <v>773.78354999999999</v>
      </c>
      <c r="BJ45" s="1">
        <v>76.407235999999997</v>
      </c>
      <c r="BK45" s="1">
        <v>46.392743000000003</v>
      </c>
      <c r="BL45" s="1">
        <v>57.723686000000001</v>
      </c>
      <c r="BM45" s="1">
        <v>0.52694600000000003</v>
      </c>
      <c r="BN45" s="1">
        <v>0.13772499999999999</v>
      </c>
      <c r="BO45" s="1">
        <v>24</v>
      </c>
      <c r="BP45" s="1">
        <v>40.814055000000003</v>
      </c>
      <c r="BQ45" s="1">
        <v>54.257429000000002</v>
      </c>
      <c r="BR45" s="1">
        <v>6956.9491699999999</v>
      </c>
      <c r="BS45" s="1">
        <v>0.75222999999999995</v>
      </c>
      <c r="BT45" s="1">
        <v>0.23333300000000001</v>
      </c>
      <c r="BU45" s="1">
        <v>454.070921</v>
      </c>
      <c r="BV45" s="1">
        <v>784.904944</v>
      </c>
      <c r="BW45" s="1">
        <v>1591.1782800000001</v>
      </c>
      <c r="BX45" s="1">
        <v>0.49328499999999997</v>
      </c>
      <c r="BY45" s="1">
        <v>2830.1541459999999</v>
      </c>
      <c r="BZ45" s="1">
        <v>16.044035000000001</v>
      </c>
      <c r="CA45" s="1">
        <v>27.733646</v>
      </c>
      <c r="CB45" s="1">
        <v>56.222318999999999</v>
      </c>
      <c r="CC45" s="1">
        <v>33.033563000000001</v>
      </c>
      <c r="CD45" s="1">
        <v>66.966436999999999</v>
      </c>
    </row>
    <row r="46" spans="1:82" x14ac:dyDescent="0.4">
      <c r="A46">
        <v>15</v>
      </c>
      <c r="B46" t="s">
        <v>17</v>
      </c>
      <c r="C46">
        <v>3</v>
      </c>
      <c r="D46" s="1">
        <v>6</v>
      </c>
      <c r="E46" s="1">
        <v>8</v>
      </c>
      <c r="F46" s="1">
        <v>14</v>
      </c>
      <c r="J46">
        <v>394.27198842211698</v>
      </c>
      <c r="K46">
        <v>53.515619754135002</v>
      </c>
      <c r="L46">
        <v>17.5045502761525</v>
      </c>
      <c r="M46">
        <v>2.7912878600111899</v>
      </c>
      <c r="N46">
        <v>6.0757286403120796</v>
      </c>
      <c r="O46">
        <v>3.2484118354707698</v>
      </c>
      <c r="Q46">
        <v>418.94272354393399</v>
      </c>
      <c r="R46">
        <v>52.206924474923099</v>
      </c>
      <c r="S46">
        <v>17.908974008087998</v>
      </c>
      <c r="T46">
        <v>1.85813921918467</v>
      </c>
      <c r="U46">
        <v>3.13672617424342</v>
      </c>
      <c r="V46">
        <v>1.63831391197811</v>
      </c>
      <c r="X46">
        <f t="shared" si="14"/>
        <v>2.6358728587233315E-2</v>
      </c>
      <c r="Y46">
        <f t="shared" si="15"/>
        <v>-1.0752449722601698E-2</v>
      </c>
      <c r="Z46">
        <f t="shared" si="16"/>
        <v>9.9197487247166816E-3</v>
      </c>
      <c r="AA46">
        <f t="shared" si="17"/>
        <v>-0.17672637678400988</v>
      </c>
      <c r="AB46">
        <f t="shared" si="18"/>
        <v>-0.28712176088148905</v>
      </c>
      <c r="AC46">
        <f t="shared" si="19"/>
        <v>-0.29727396501232384</v>
      </c>
      <c r="AF46">
        <v>0.85117536995735898</v>
      </c>
      <c r="AG46">
        <v>0.115532370496367</v>
      </c>
      <c r="AH46">
        <v>3.7789755536194999E-2</v>
      </c>
      <c r="AI46">
        <v>6.0259809133557801E-3</v>
      </c>
      <c r="AJ46">
        <v>1.31166066193914E-2</v>
      </c>
      <c r="AK46">
        <v>7.0128445008131096E-3</v>
      </c>
      <c r="AM46">
        <v>0.86951308738683097</v>
      </c>
      <c r="AN46">
        <v>0.108355155805447</v>
      </c>
      <c r="AO46">
        <v>3.7169967173496098E-2</v>
      </c>
      <c r="AP46">
        <v>3.85655670445934E-3</v>
      </c>
      <c r="AQ46">
        <v>6.5102561920196596E-3</v>
      </c>
      <c r="AR46">
        <v>3.4003106096757202E-3</v>
      </c>
      <c r="AT46">
        <f t="shared" si="2"/>
        <v>0.86034422867209503</v>
      </c>
      <c r="AU46">
        <f t="shared" si="3"/>
        <v>0.111943763150907</v>
      </c>
      <c r="AV46">
        <f t="shared" si="4"/>
        <v>3.7479861354845545E-2</v>
      </c>
      <c r="AW46">
        <f t="shared" si="5"/>
        <v>4.9412688089075603E-3</v>
      </c>
      <c r="AX46">
        <f t="shared" si="6"/>
        <v>9.8134314057055291E-3</v>
      </c>
      <c r="AY46">
        <f t="shared" si="7"/>
        <v>5.2065775552444151E-3</v>
      </c>
      <c r="BH46" s="1">
        <v>121.351523</v>
      </c>
      <c r="BI46" s="1">
        <v>494.43137300000001</v>
      </c>
      <c r="BJ46" s="1">
        <v>223.325425</v>
      </c>
      <c r="BK46" s="1">
        <v>34.479872</v>
      </c>
      <c r="BL46" s="1">
        <v>430.28692599999999</v>
      </c>
      <c r="BM46" s="1">
        <v>1</v>
      </c>
      <c r="BN46" s="1">
        <v>1</v>
      </c>
      <c r="BO46" s="1">
        <v>76</v>
      </c>
      <c r="BP46" s="1">
        <v>289.967984</v>
      </c>
      <c r="BQ46" s="1">
        <v>24.380952000000001</v>
      </c>
      <c r="BR46" s="1">
        <v>22210.103099</v>
      </c>
      <c r="BS46" s="1">
        <v>11.893217999999999</v>
      </c>
      <c r="BT46" s="1">
        <v>0.27760200000000002</v>
      </c>
      <c r="BU46" s="1">
        <v>0</v>
      </c>
      <c r="BV46" s="1">
        <v>1482.059536</v>
      </c>
      <c r="BW46" s="1">
        <v>10754.508801</v>
      </c>
      <c r="BX46" s="1">
        <v>0.13780800000000001</v>
      </c>
      <c r="BY46" s="1">
        <v>12236.568337999999</v>
      </c>
      <c r="BZ46" s="1">
        <v>0</v>
      </c>
      <c r="CA46" s="1">
        <v>12.111725</v>
      </c>
      <c r="CB46" s="1">
        <v>87.888274999999993</v>
      </c>
      <c r="CC46" s="1">
        <v>12.111725</v>
      </c>
      <c r="CD46" s="1">
        <v>87.888274999999993</v>
      </c>
    </row>
    <row r="47" spans="1:82" x14ac:dyDescent="0.4">
      <c r="A47">
        <v>16</v>
      </c>
      <c r="B47" t="s">
        <v>18</v>
      </c>
      <c r="C47">
        <v>1</v>
      </c>
      <c r="D47" s="1">
        <v>7</v>
      </c>
      <c r="E47" s="1">
        <v>7</v>
      </c>
      <c r="F47" s="1">
        <v>4</v>
      </c>
      <c r="G47" s="1" t="s">
        <v>110</v>
      </c>
      <c r="J47">
        <v>156.660565949362</v>
      </c>
      <c r="K47">
        <v>6.5879781058117102</v>
      </c>
      <c r="L47">
        <v>10.228221619292199</v>
      </c>
      <c r="M47">
        <v>2.9668348234447501</v>
      </c>
      <c r="N47">
        <v>4.9735921305646604</v>
      </c>
      <c r="O47">
        <v>2.5308527764318902</v>
      </c>
      <c r="Q47">
        <v>164.220471598752</v>
      </c>
      <c r="R47">
        <v>6.3335888000674103</v>
      </c>
      <c r="S47">
        <v>8.9898307633095005</v>
      </c>
      <c r="T47">
        <v>2.73201437453453</v>
      </c>
      <c r="U47">
        <v>4.6954483133715001</v>
      </c>
      <c r="V47">
        <v>2.7493577474800599</v>
      </c>
      <c r="X47">
        <f t="shared" si="14"/>
        <v>2.0467603842603932E-2</v>
      </c>
      <c r="Y47">
        <f t="shared" si="15"/>
        <v>-1.7102283233058069E-2</v>
      </c>
      <c r="Z47">
        <f t="shared" si="16"/>
        <v>-5.6048613436692873E-2</v>
      </c>
      <c r="AA47">
        <f t="shared" si="17"/>
        <v>-3.5810387871082705E-2</v>
      </c>
      <c r="AB47">
        <f t="shared" si="18"/>
        <v>-2.4993102925000676E-2</v>
      </c>
      <c r="AC47">
        <f t="shared" si="19"/>
        <v>3.5964371763928027E-2</v>
      </c>
      <c r="AF47">
        <v>0.86297697975616805</v>
      </c>
      <c r="AG47">
        <v>3.6290392633273202E-2</v>
      </c>
      <c r="AH47">
        <v>5.6342958726107402E-2</v>
      </c>
      <c r="AI47">
        <v>1.6343041657332899E-2</v>
      </c>
      <c r="AJ47">
        <v>2.7397421229545901E-2</v>
      </c>
      <c r="AK47">
        <v>1.39414004537598E-2</v>
      </c>
      <c r="AM47">
        <v>0.87556135367126098</v>
      </c>
      <c r="AN47">
        <v>3.3768296543037701E-2</v>
      </c>
      <c r="AO47">
        <v>4.7930372600748498E-2</v>
      </c>
      <c r="AP47">
        <v>1.4566065854818599E-2</v>
      </c>
      <c r="AQ47">
        <v>2.5034351937522001E-2</v>
      </c>
      <c r="AR47">
        <v>1.4658534150309399E-2</v>
      </c>
      <c r="AT47">
        <f t="shared" si="2"/>
        <v>0.86926916671371446</v>
      </c>
      <c r="AU47">
        <f t="shared" si="3"/>
        <v>3.5029344588155452E-2</v>
      </c>
      <c r="AV47">
        <f t="shared" si="4"/>
        <v>5.213666566342795E-2</v>
      </c>
      <c r="AW47">
        <f t="shared" si="5"/>
        <v>1.545455375607575E-2</v>
      </c>
      <c r="AX47">
        <f t="shared" si="6"/>
        <v>2.6215886583533951E-2</v>
      </c>
      <c r="AY47">
        <f t="shared" si="7"/>
        <v>1.4299967302034599E-2</v>
      </c>
      <c r="BH47" s="1">
        <v>190.56980200000001</v>
      </c>
      <c r="BI47" s="1">
        <v>314.84526599999998</v>
      </c>
      <c r="BJ47" s="1">
        <v>161.83211</v>
      </c>
      <c r="BK47" s="1">
        <v>130.10227499999999</v>
      </c>
      <c r="BL47" s="1">
        <v>236.78478899999999</v>
      </c>
      <c r="BM47" s="1">
        <v>0.94525499999999996</v>
      </c>
      <c r="BN47" s="1">
        <v>0.87226300000000001</v>
      </c>
      <c r="BO47" s="1">
        <v>128</v>
      </c>
      <c r="BP47" s="1">
        <v>167.308179</v>
      </c>
      <c r="BQ47" s="1">
        <v>145.78507099999999</v>
      </c>
      <c r="BR47" s="1">
        <v>76626.695886000001</v>
      </c>
      <c r="BS47" s="1">
        <v>1.1476360000000001</v>
      </c>
      <c r="BT47" s="1">
        <v>0.23333300000000001</v>
      </c>
      <c r="BU47" s="1">
        <v>1345.09131</v>
      </c>
      <c r="BV47" s="1">
        <v>3087.2844660000001</v>
      </c>
      <c r="BW47" s="1">
        <v>9100.0858630000002</v>
      </c>
      <c r="BX47" s="1">
        <v>0.33925899999999998</v>
      </c>
      <c r="BY47" s="1">
        <v>13532.461638000001</v>
      </c>
      <c r="BZ47" s="1">
        <v>9.9397389999999994</v>
      </c>
      <c r="CA47" s="1">
        <v>22.813915999999999</v>
      </c>
      <c r="CB47" s="1">
        <v>67.246345000000005</v>
      </c>
      <c r="CC47" s="1">
        <v>25.331834000000001</v>
      </c>
      <c r="CD47" s="1">
        <v>74.668165999999999</v>
      </c>
    </row>
    <row r="48" spans="1:82" x14ac:dyDescent="0.4">
      <c r="A48">
        <v>16</v>
      </c>
      <c r="B48" t="s">
        <v>19</v>
      </c>
      <c r="C48">
        <v>2</v>
      </c>
      <c r="D48" s="1">
        <v>8</v>
      </c>
      <c r="E48" s="1">
        <v>9</v>
      </c>
      <c r="F48" s="1">
        <v>4</v>
      </c>
      <c r="J48">
        <v>320.895955720308</v>
      </c>
      <c r="K48">
        <v>10.7513563637449</v>
      </c>
      <c r="L48">
        <v>12.130130443927801</v>
      </c>
      <c r="M48">
        <v>3.2374739497195599</v>
      </c>
      <c r="N48">
        <v>5.1763986017593604</v>
      </c>
      <c r="O48">
        <v>2.4011570511752001</v>
      </c>
      <c r="Q48">
        <v>507.53497401895299</v>
      </c>
      <c r="R48">
        <v>11.593513771016999</v>
      </c>
      <c r="S48">
        <v>10.8329694468217</v>
      </c>
      <c r="T48">
        <v>2.37840450694376</v>
      </c>
      <c r="U48">
        <v>4.3342628948702799</v>
      </c>
      <c r="V48">
        <v>2.3706367379639399</v>
      </c>
      <c r="X48">
        <f t="shared" si="14"/>
        <v>0.19910173098545858</v>
      </c>
      <c r="Y48">
        <f t="shared" si="15"/>
        <v>3.2751825023873637E-2</v>
      </c>
      <c r="Z48">
        <f t="shared" si="16"/>
        <v>-4.9117952900191497E-2</v>
      </c>
      <c r="AA48">
        <f t="shared" si="17"/>
        <v>-0.1339205633985634</v>
      </c>
      <c r="AB48">
        <f t="shared" si="18"/>
        <v>-7.7112461293116108E-2</v>
      </c>
      <c r="AC48">
        <f t="shared" si="19"/>
        <v>-5.5555562327007091E-3</v>
      </c>
      <c r="AF48">
        <v>0.91312931445740397</v>
      </c>
      <c r="AG48">
        <v>3.0593650343385601E-2</v>
      </c>
      <c r="AH48">
        <v>3.4517037373312298E-2</v>
      </c>
      <c r="AI48">
        <v>9.2124326143198897E-3</v>
      </c>
      <c r="AJ48">
        <v>1.47297627854886E-2</v>
      </c>
      <c r="AK48">
        <v>6.8326410880516098E-3</v>
      </c>
      <c r="AM48">
        <v>0.947848746206017</v>
      </c>
      <c r="AN48">
        <v>2.1651507885189301E-2</v>
      </c>
      <c r="AO48">
        <v>2.02311506270198E-2</v>
      </c>
      <c r="AP48">
        <v>4.4417977977478304E-3</v>
      </c>
      <c r="AQ48">
        <v>8.0944680877827503E-3</v>
      </c>
      <c r="AR48">
        <v>4.4272910731569196E-3</v>
      </c>
      <c r="AT48">
        <f t="shared" si="2"/>
        <v>0.93048903033171049</v>
      </c>
      <c r="AU48">
        <f t="shared" si="3"/>
        <v>2.6122579114287451E-2</v>
      </c>
      <c r="AV48">
        <f t="shared" si="4"/>
        <v>2.7374094000166049E-2</v>
      </c>
      <c r="AW48">
        <f t="shared" si="5"/>
        <v>6.82711520603386E-3</v>
      </c>
      <c r="AX48">
        <f t="shared" si="6"/>
        <v>1.1412115436635676E-2</v>
      </c>
      <c r="AY48">
        <f t="shared" si="7"/>
        <v>5.6299660806042647E-3</v>
      </c>
      <c r="BH48" s="1">
        <v>181.64745500000001</v>
      </c>
      <c r="BI48" s="1">
        <v>330.31016</v>
      </c>
      <c r="BJ48" s="1">
        <v>161.966162</v>
      </c>
      <c r="BK48" s="1">
        <v>145.09568899999999</v>
      </c>
      <c r="BL48" s="1">
        <v>243.09345400000001</v>
      </c>
      <c r="BM48" s="1">
        <v>0.92307700000000004</v>
      </c>
      <c r="BN48" s="1">
        <v>0.83760699999999999</v>
      </c>
      <c r="BO48" s="1">
        <v>124</v>
      </c>
      <c r="BP48" s="1">
        <v>171.50418400000001</v>
      </c>
      <c r="BQ48" s="1">
        <v>148.74058199999999</v>
      </c>
      <c r="BR48" s="1">
        <v>80140.872873999993</v>
      </c>
      <c r="BS48" s="1">
        <v>1.1530419999999999</v>
      </c>
      <c r="BT48" s="1">
        <v>0.2</v>
      </c>
      <c r="BU48" s="1">
        <v>1102.5129810000001</v>
      </c>
      <c r="BV48" s="1">
        <v>2027.455283</v>
      </c>
      <c r="BW48" s="1">
        <v>3164.2205819999999</v>
      </c>
      <c r="BX48" s="1">
        <v>0.64074399999999998</v>
      </c>
      <c r="BY48" s="1">
        <v>6294.188846</v>
      </c>
      <c r="BZ48" s="1">
        <v>17.516362999999998</v>
      </c>
      <c r="CA48" s="1">
        <v>32.211542000000001</v>
      </c>
      <c r="CB48" s="1">
        <v>50.272095</v>
      </c>
      <c r="CC48" s="1">
        <v>39.052039000000001</v>
      </c>
      <c r="CD48" s="1">
        <v>60.947960999999999</v>
      </c>
    </row>
    <row r="49" spans="1:82" x14ac:dyDescent="0.4">
      <c r="A49">
        <v>16</v>
      </c>
      <c r="B49" t="s">
        <v>20</v>
      </c>
      <c r="C49">
        <v>3</v>
      </c>
      <c r="D49" s="1">
        <v>7</v>
      </c>
      <c r="E49" s="1">
        <v>8</v>
      </c>
      <c r="F49" s="1">
        <v>4</v>
      </c>
      <c r="J49">
        <v>168.05268815315</v>
      </c>
      <c r="K49">
        <v>13.410864269849</v>
      </c>
      <c r="L49">
        <v>14.2247249150362</v>
      </c>
      <c r="M49">
        <v>4.42223569975347</v>
      </c>
      <c r="N49">
        <v>5.6113943433961797</v>
      </c>
      <c r="O49">
        <v>3.87192570819898</v>
      </c>
      <c r="Q49">
        <v>438.64499378520998</v>
      </c>
      <c r="R49">
        <v>9.5514960503435695</v>
      </c>
      <c r="S49">
        <v>12.1924330516329</v>
      </c>
      <c r="T49">
        <v>3.4851351780545698</v>
      </c>
      <c r="U49">
        <v>4.5828394613167802</v>
      </c>
      <c r="V49">
        <v>3.6796551353485301</v>
      </c>
      <c r="X49">
        <f t="shared" si="14"/>
        <v>0.4166677133700869</v>
      </c>
      <c r="Y49">
        <f t="shared" si="15"/>
        <v>-0.14738536664408108</v>
      </c>
      <c r="Z49">
        <f t="shared" si="16"/>
        <v>-6.6953496971558613E-2</v>
      </c>
      <c r="AA49">
        <f t="shared" si="17"/>
        <v>-0.10342225846893449</v>
      </c>
      <c r="AB49">
        <f t="shared" si="18"/>
        <v>-8.7936146023037232E-2</v>
      </c>
      <c r="AC49">
        <f t="shared" si="19"/>
        <v>-2.2119898145860128E-2</v>
      </c>
      <c r="AF49">
        <v>0.81843270463580997</v>
      </c>
      <c r="AG49">
        <v>6.5312194862802403E-2</v>
      </c>
      <c r="AH49">
        <v>6.9275774239944896E-2</v>
      </c>
      <c r="AI49">
        <v>2.15367118732901E-2</v>
      </c>
      <c r="AJ49">
        <v>2.7328028487461901E-2</v>
      </c>
      <c r="AK49">
        <v>1.88566494492628E-2</v>
      </c>
      <c r="AM49">
        <v>0.93561349353370504</v>
      </c>
      <c r="AN49">
        <v>2.03729866173082E-2</v>
      </c>
      <c r="AO49">
        <v>2.6006007235317801E-2</v>
      </c>
      <c r="AP49">
        <v>7.4336640006736898E-3</v>
      </c>
      <c r="AQ49">
        <v>9.7750265008297206E-3</v>
      </c>
      <c r="AR49">
        <v>7.8485678509042003E-3</v>
      </c>
      <c r="AT49">
        <f t="shared" si="2"/>
        <v>0.87702309908475751</v>
      </c>
      <c r="AU49">
        <f t="shared" si="3"/>
        <v>4.2842590740055302E-2</v>
      </c>
      <c r="AV49">
        <f t="shared" si="4"/>
        <v>4.764089073763135E-2</v>
      </c>
      <c r="AW49">
        <f t="shared" si="5"/>
        <v>1.4485187936981895E-2</v>
      </c>
      <c r="AX49">
        <f t="shared" si="6"/>
        <v>1.8551527494145813E-2</v>
      </c>
      <c r="AY49">
        <f t="shared" si="7"/>
        <v>1.3352608650083499E-2</v>
      </c>
      <c r="BH49" s="1">
        <v>219.880619</v>
      </c>
      <c r="BI49" s="1">
        <v>272.87534599999998</v>
      </c>
      <c r="BJ49" s="1">
        <v>171.17921899999999</v>
      </c>
      <c r="BK49" s="1">
        <v>153.85697099999999</v>
      </c>
      <c r="BL49" s="1">
        <v>270.70238000000001</v>
      </c>
      <c r="BM49" s="1">
        <v>0.93548399999999998</v>
      </c>
      <c r="BN49" s="1">
        <v>0.84792599999999996</v>
      </c>
      <c r="BO49" s="1">
        <v>128</v>
      </c>
      <c r="BP49" s="1">
        <v>190.577078</v>
      </c>
      <c r="BQ49" s="1">
        <v>151.94633200000001</v>
      </c>
      <c r="BR49" s="1">
        <v>90972.631552999999</v>
      </c>
      <c r="BS49" s="1">
        <v>1.2542390000000001</v>
      </c>
      <c r="BT49" s="1">
        <v>0.23333300000000001</v>
      </c>
      <c r="BU49" s="1">
        <v>480.90105399999999</v>
      </c>
      <c r="BV49" s="1">
        <v>1432.3458539999999</v>
      </c>
      <c r="BW49" s="1">
        <v>7625.8257190000004</v>
      </c>
      <c r="BX49" s="1">
        <v>0.18782799999999999</v>
      </c>
      <c r="BY49" s="1">
        <v>9539.0726269999996</v>
      </c>
      <c r="BZ49" s="1">
        <v>5.0413819999999996</v>
      </c>
      <c r="CA49" s="1">
        <v>15.015567000000001</v>
      </c>
      <c r="CB49" s="1">
        <v>79.943050999999997</v>
      </c>
      <c r="CC49" s="1">
        <v>15.812747999999999</v>
      </c>
      <c r="CD49" s="1">
        <v>84.187252000000001</v>
      </c>
    </row>
    <row r="50" spans="1:82" x14ac:dyDescent="0.4">
      <c r="A50">
        <v>17</v>
      </c>
      <c r="B50" t="s">
        <v>21</v>
      </c>
      <c r="C50">
        <v>1</v>
      </c>
      <c r="D50" s="1">
        <v>4</v>
      </c>
      <c r="E50" s="1">
        <v>7</v>
      </c>
      <c r="F50" s="1">
        <v>36</v>
      </c>
      <c r="G50" s="1" t="s">
        <v>116</v>
      </c>
      <c r="J50">
        <v>788.03259441317402</v>
      </c>
      <c r="K50">
        <v>17.6515292706964</v>
      </c>
      <c r="L50">
        <v>7.4057308066495597</v>
      </c>
      <c r="M50">
        <v>3.4606998380734102</v>
      </c>
      <c r="N50">
        <v>3.0231139647594598</v>
      </c>
      <c r="O50">
        <v>1.9107583889477</v>
      </c>
      <c r="Q50">
        <v>400.93910058163101</v>
      </c>
      <c r="R50">
        <v>11.0003457155413</v>
      </c>
      <c r="S50">
        <v>5.3059909378769303</v>
      </c>
      <c r="T50">
        <v>2.5075882439694701</v>
      </c>
      <c r="U50">
        <v>2.8054156641359902</v>
      </c>
      <c r="V50">
        <v>1.6445303694968201</v>
      </c>
      <c r="X50">
        <f t="shared" si="14"/>
        <v>-0.29346576924664003</v>
      </c>
      <c r="Y50">
        <f t="shared" si="15"/>
        <v>-0.20537600295719116</v>
      </c>
      <c r="Z50">
        <f t="shared" si="16"/>
        <v>-0.14480141777336974</v>
      </c>
      <c r="AA50">
        <f t="shared" si="17"/>
        <v>-0.13990770751083115</v>
      </c>
      <c r="AB50">
        <f t="shared" si="18"/>
        <v>-3.2457301876074374E-2</v>
      </c>
      <c r="AC50">
        <f t="shared" si="19"/>
        <v>-6.516387698034512E-2</v>
      </c>
      <c r="AF50">
        <v>0.96431296726660598</v>
      </c>
      <c r="AG50">
        <v>2.1600119955056101E-2</v>
      </c>
      <c r="AH50">
        <v>9.0623691197138697E-3</v>
      </c>
      <c r="AI50">
        <v>4.2348473316091099E-3</v>
      </c>
      <c r="AJ50">
        <v>3.6993748969396398E-3</v>
      </c>
      <c r="AK50">
        <v>2.3381889338572599E-3</v>
      </c>
      <c r="AM50">
        <v>0.95221759281902296</v>
      </c>
      <c r="AN50">
        <v>2.6125470681792901E-2</v>
      </c>
      <c r="AO50">
        <v>1.2601559466400901E-2</v>
      </c>
      <c r="AP50">
        <v>5.9554422055369998E-3</v>
      </c>
      <c r="AQ50">
        <v>6.6627728417734296E-3</v>
      </c>
      <c r="AR50">
        <v>3.90570724453753E-3</v>
      </c>
      <c r="AT50">
        <f t="shared" si="2"/>
        <v>0.95826528004281442</v>
      </c>
      <c r="AU50">
        <f t="shared" si="3"/>
        <v>2.3862795318424501E-2</v>
      </c>
      <c r="AV50">
        <f t="shared" si="4"/>
        <v>1.0831964293057385E-2</v>
      </c>
      <c r="AW50">
        <f t="shared" si="5"/>
        <v>5.0951447685730553E-3</v>
      </c>
      <c r="AX50">
        <f t="shared" si="6"/>
        <v>5.1810738693565343E-3</v>
      </c>
      <c r="AY50">
        <f t="shared" si="7"/>
        <v>3.121948089197395E-3</v>
      </c>
      <c r="BH50" s="1">
        <v>112.26014499999999</v>
      </c>
      <c r="BI50" s="1">
        <v>534.47285499999998</v>
      </c>
      <c r="BJ50" s="1">
        <v>181.69551899999999</v>
      </c>
      <c r="BK50" s="1">
        <v>151.177391</v>
      </c>
      <c r="BL50" s="1">
        <v>203.88332700000001</v>
      </c>
      <c r="BM50" s="1">
        <v>0.48616599999999999</v>
      </c>
      <c r="BN50" s="1">
        <v>0.46047399999999999</v>
      </c>
      <c r="BO50" s="1">
        <v>32</v>
      </c>
      <c r="BP50" s="1">
        <v>143.7116</v>
      </c>
      <c r="BQ50" s="1">
        <v>221.66727700000001</v>
      </c>
      <c r="BR50" s="1">
        <v>100079.074949</v>
      </c>
      <c r="BS50" s="1">
        <v>0.64832100000000004</v>
      </c>
      <c r="BT50" s="1">
        <v>0.16383800000000001</v>
      </c>
      <c r="BU50" s="1">
        <v>2069.260808</v>
      </c>
      <c r="BV50" s="1">
        <v>8764.6099869999998</v>
      </c>
      <c r="BW50" s="1">
        <v>8798.8548379999993</v>
      </c>
      <c r="BX50" s="1">
        <v>0.99610799999999999</v>
      </c>
      <c r="BY50" s="1">
        <v>19632.725632999998</v>
      </c>
      <c r="BZ50" s="1">
        <v>10.539854999999999</v>
      </c>
      <c r="CA50" s="1">
        <v>44.642859000000001</v>
      </c>
      <c r="CB50" s="1">
        <v>44.817286000000003</v>
      </c>
      <c r="CC50" s="1">
        <v>49.902510999999997</v>
      </c>
      <c r="CD50" s="1">
        <v>50.097489000000003</v>
      </c>
    </row>
    <row r="51" spans="1:82" x14ac:dyDescent="0.4">
      <c r="A51">
        <v>17</v>
      </c>
      <c r="B51" t="s">
        <v>22</v>
      </c>
      <c r="C51">
        <v>2</v>
      </c>
      <c r="D51" s="1">
        <v>4</v>
      </c>
      <c r="E51" s="1">
        <v>5</v>
      </c>
      <c r="F51" s="1">
        <v>36</v>
      </c>
      <c r="J51">
        <v>421.86402932127299</v>
      </c>
      <c r="K51">
        <v>17.738322010622099</v>
      </c>
      <c r="L51">
        <v>6.6203022963151898</v>
      </c>
      <c r="M51">
        <v>3.1899815353658898</v>
      </c>
      <c r="N51">
        <v>2.1263392981507501</v>
      </c>
      <c r="O51">
        <v>1.12803667757324</v>
      </c>
      <c r="Q51">
        <v>662.22655714576797</v>
      </c>
      <c r="R51">
        <v>21.929499071091399</v>
      </c>
      <c r="S51">
        <v>8.8205984321584801</v>
      </c>
      <c r="T51">
        <v>3.96335880400318</v>
      </c>
      <c r="U51">
        <v>2.3754281833491202</v>
      </c>
      <c r="V51">
        <v>1.42608903664562</v>
      </c>
      <c r="X51">
        <f t="shared" si="14"/>
        <v>0.19583409680813624</v>
      </c>
      <c r="Y51">
        <f t="shared" si="15"/>
        <v>9.2116176784458492E-2</v>
      </c>
      <c r="Z51">
        <f t="shared" si="16"/>
        <v>0.1246202301226107</v>
      </c>
      <c r="AA51">
        <f t="shared" si="17"/>
        <v>9.4275221688323252E-2</v>
      </c>
      <c r="AB51">
        <f t="shared" si="18"/>
        <v>4.8109339150670394E-2</v>
      </c>
      <c r="AC51">
        <f t="shared" si="19"/>
        <v>0.10182342041140945</v>
      </c>
      <c r="AF51">
        <v>0.94477504696147596</v>
      </c>
      <c r="AG51">
        <v>3.9725415882377997E-2</v>
      </c>
      <c r="AH51">
        <v>1.48263326052316E-2</v>
      </c>
      <c r="AI51">
        <v>7.1440434486211299E-3</v>
      </c>
      <c r="AJ51">
        <v>4.7619900504399402E-3</v>
      </c>
      <c r="AK51">
        <v>2.5262663582462101E-3</v>
      </c>
      <c r="AM51">
        <v>0.95457357709284896</v>
      </c>
      <c r="AN51">
        <v>3.16105117595551E-2</v>
      </c>
      <c r="AO51">
        <v>1.27145462631027E-2</v>
      </c>
      <c r="AP51">
        <v>5.7130260784859803E-3</v>
      </c>
      <c r="AQ51">
        <v>3.4240864454000001E-3</v>
      </c>
      <c r="AR51">
        <v>2.0556513451091599E-3</v>
      </c>
      <c r="AT51">
        <f t="shared" si="2"/>
        <v>0.94967431202716246</v>
      </c>
      <c r="AU51">
        <f t="shared" si="3"/>
        <v>3.5667963820966549E-2</v>
      </c>
      <c r="AV51">
        <f t="shared" si="4"/>
        <v>1.3770439434167149E-2</v>
      </c>
      <c r="AW51">
        <f t="shared" si="5"/>
        <v>6.4285347635535551E-3</v>
      </c>
      <c r="AX51">
        <f t="shared" si="6"/>
        <v>4.0930382479199704E-3</v>
      </c>
      <c r="AY51">
        <f t="shared" si="7"/>
        <v>2.290958851677685E-3</v>
      </c>
      <c r="BH51" s="1">
        <v>111.72376</v>
      </c>
      <c r="BI51" s="1">
        <v>537.03885500000001</v>
      </c>
      <c r="BJ51" s="1">
        <v>187.52766800000001</v>
      </c>
      <c r="BK51" s="1">
        <v>157.17516800000001</v>
      </c>
      <c r="BL51" s="1">
        <v>212.34004100000001</v>
      </c>
      <c r="BM51" s="1">
        <v>0.480549</v>
      </c>
      <c r="BN51" s="1">
        <v>0.46681899999999998</v>
      </c>
      <c r="BO51" s="1">
        <v>36</v>
      </c>
      <c r="BP51" s="1">
        <v>149.29495499999999</v>
      </c>
      <c r="BQ51" s="1">
        <v>227.66445100000001</v>
      </c>
      <c r="BR51" s="1">
        <v>106780.076526</v>
      </c>
      <c r="BS51" s="1">
        <v>0.65576800000000002</v>
      </c>
      <c r="BT51" s="1">
        <v>0.16666700000000001</v>
      </c>
      <c r="BU51" s="1">
        <v>676.58031300000005</v>
      </c>
      <c r="BV51" s="1">
        <v>2662.9785230000002</v>
      </c>
      <c r="BW51" s="1">
        <v>14150.963233</v>
      </c>
      <c r="BX51" s="1">
        <v>0.18818399999999999</v>
      </c>
      <c r="BY51" s="1">
        <v>17490.522068999999</v>
      </c>
      <c r="BZ51" s="1">
        <v>3.868268</v>
      </c>
      <c r="CA51" s="1">
        <v>15.225266</v>
      </c>
      <c r="CB51" s="1">
        <v>80.906465999999995</v>
      </c>
      <c r="CC51" s="1">
        <v>15.837918999999999</v>
      </c>
      <c r="CD51" s="1">
        <v>84.162081000000001</v>
      </c>
    </row>
    <row r="52" spans="1:82" x14ac:dyDescent="0.4">
      <c r="A52">
        <v>17</v>
      </c>
      <c r="B52" t="s">
        <v>107</v>
      </c>
      <c r="C52">
        <v>3</v>
      </c>
      <c r="D52" s="1">
        <v>5</v>
      </c>
      <c r="E52" s="1">
        <v>7</v>
      </c>
      <c r="F52" s="1">
        <v>36</v>
      </c>
      <c r="BH52" s="1">
        <v>124.284306</v>
      </c>
      <c r="BI52" s="1">
        <v>482.76409200000001</v>
      </c>
      <c r="BJ52" s="1">
        <v>168.27676500000001</v>
      </c>
      <c r="BK52" s="1">
        <v>144.190111</v>
      </c>
      <c r="BL52" s="1">
        <v>201.09862200000001</v>
      </c>
      <c r="BM52" s="1">
        <v>0.53864199999999995</v>
      </c>
      <c r="BN52" s="1">
        <v>0.51990599999999998</v>
      </c>
      <c r="BO52" s="1">
        <v>28</v>
      </c>
      <c r="BP52" s="1">
        <v>141.65535</v>
      </c>
      <c r="BQ52" s="1">
        <v>198.994079</v>
      </c>
      <c r="BR52" s="1">
        <v>88557.023245000004</v>
      </c>
      <c r="BS52" s="1">
        <v>0.71185699999999996</v>
      </c>
      <c r="BT52" s="1">
        <v>0.16666700000000001</v>
      </c>
      <c r="BU52" s="1">
        <v>465.75791400000003</v>
      </c>
      <c r="BV52" s="1">
        <v>2204.184589</v>
      </c>
      <c r="BW52" s="1">
        <v>9594.9875609999999</v>
      </c>
      <c r="BX52" s="1">
        <v>0.22972300000000001</v>
      </c>
      <c r="BY52" s="1">
        <v>12264.930063</v>
      </c>
      <c r="BZ52" s="1">
        <v>3.7974770000000002</v>
      </c>
      <c r="CA52" s="1">
        <v>17.971440000000001</v>
      </c>
      <c r="CB52" s="1">
        <v>78.231082999999998</v>
      </c>
      <c r="CC52" s="1">
        <v>18.680841000000001</v>
      </c>
      <c r="CD52" s="1">
        <v>81.319158999999999</v>
      </c>
    </row>
    <row r="53" spans="1:82" x14ac:dyDescent="0.4">
      <c r="A53">
        <v>21</v>
      </c>
      <c r="B53" t="s">
        <v>26</v>
      </c>
      <c r="C53">
        <v>1</v>
      </c>
      <c r="D53" s="1">
        <v>3</v>
      </c>
      <c r="E53" s="1">
        <v>6</v>
      </c>
      <c r="F53" s="1">
        <v>31</v>
      </c>
      <c r="G53" s="1" t="s">
        <v>110</v>
      </c>
      <c r="J53">
        <v>788.54931882173105</v>
      </c>
      <c r="K53">
        <v>22.6652361092532</v>
      </c>
      <c r="L53">
        <v>7.1414181839531103</v>
      </c>
      <c r="M53">
        <v>3.8640580562295002</v>
      </c>
      <c r="N53">
        <v>3.2056322202198899</v>
      </c>
      <c r="O53">
        <v>2.4157154240629701</v>
      </c>
      <c r="Q53">
        <v>918.96008226217998</v>
      </c>
      <c r="R53">
        <v>21.044360414106599</v>
      </c>
      <c r="S53">
        <v>7.5242209958420103</v>
      </c>
      <c r="T53">
        <v>3.9805710624960602</v>
      </c>
      <c r="U53">
        <v>2.9927240021159802</v>
      </c>
      <c r="V53">
        <v>1.94324903984945</v>
      </c>
      <c r="X53">
        <f t="shared" ref="X53:X61" si="20">LOG10(Q53)-LOG10(J53)</f>
        <v>6.6467786021338959E-2</v>
      </c>
      <c r="Y53">
        <f t="shared" ref="Y53:Y61" si="21">LOG10(R53)-LOG10(K53)</f>
        <v>-3.2224516479798959E-2</v>
      </c>
      <c r="Z53">
        <f t="shared" ref="Z53:Z61" si="22">LOG10(S53)-LOG10(L53)</f>
        <v>2.2677077801011469E-2</v>
      </c>
      <c r="AA53">
        <f t="shared" ref="AA53:AA61" si="23">LOG10(T53)-LOG10(M53)</f>
        <v>1.2901738568414256E-2</v>
      </c>
      <c r="AB53">
        <f t="shared" ref="AB53:AB61" si="24">LOG10(U53)-LOG10(N53)</f>
        <v>-2.9847027834350059E-2</v>
      </c>
      <c r="AC53">
        <f t="shared" ref="AC53:AC61" si="25">LOG10(V53)-LOG10(O53)</f>
        <v>-9.4517310439881541E-2</v>
      </c>
      <c r="AF53">
        <v>0.95809826910106399</v>
      </c>
      <c r="AG53">
        <v>2.7538573639871101E-2</v>
      </c>
      <c r="AH53">
        <v>8.6769213258545298E-3</v>
      </c>
      <c r="AI53">
        <v>4.6948836895976797E-3</v>
      </c>
      <c r="AJ53">
        <v>3.8948872420009198E-3</v>
      </c>
      <c r="AK53">
        <v>2.9351274691275398E-3</v>
      </c>
      <c r="AM53">
        <v>0.96543301737731202</v>
      </c>
      <c r="AN53">
        <v>2.2108599454453998E-2</v>
      </c>
      <c r="AO53">
        <v>7.9047300526346592E-3</v>
      </c>
      <c r="AP53">
        <v>4.1818734087885898E-3</v>
      </c>
      <c r="AQ53">
        <v>3.1440697145711499E-3</v>
      </c>
      <c r="AR53">
        <v>2.04152152010687E-3</v>
      </c>
      <c r="AT53">
        <f t="shared" si="2"/>
        <v>0.96176564323918801</v>
      </c>
      <c r="AU53">
        <f t="shared" si="3"/>
        <v>2.482358654716255E-2</v>
      </c>
      <c r="AV53">
        <f t="shared" si="4"/>
        <v>8.2908256892445936E-3</v>
      </c>
      <c r="AW53">
        <f t="shared" si="5"/>
        <v>4.4383785491931352E-3</v>
      </c>
      <c r="AX53">
        <f t="shared" si="6"/>
        <v>3.5194784782860348E-3</v>
      </c>
      <c r="AY53">
        <f t="shared" si="7"/>
        <v>2.4883244946172049E-3</v>
      </c>
      <c r="BH53" s="1">
        <v>176.69467</v>
      </c>
      <c r="BI53" s="1">
        <v>339.56881600000003</v>
      </c>
      <c r="BJ53" s="1">
        <v>170.76634999999999</v>
      </c>
      <c r="BK53" s="1">
        <v>44.355465000000002</v>
      </c>
      <c r="BL53" s="1">
        <v>334.99224099999998</v>
      </c>
      <c r="BM53" s="1">
        <v>0.99611300000000003</v>
      </c>
      <c r="BN53" s="1">
        <v>0.99611300000000003</v>
      </c>
      <c r="BO53" s="1">
        <v>164</v>
      </c>
      <c r="BP53" s="1">
        <v>236.87475699999999</v>
      </c>
      <c r="BQ53" s="1">
        <v>45.283793000000003</v>
      </c>
      <c r="BR53" s="1">
        <v>33698.568464000004</v>
      </c>
      <c r="BS53" s="1">
        <v>5.2308950000000003</v>
      </c>
      <c r="BT53" s="1">
        <v>0.283439</v>
      </c>
      <c r="BU53" s="1">
        <v>126.241795</v>
      </c>
      <c r="BV53" s="1">
        <v>348.75142299999999</v>
      </c>
      <c r="BW53" s="1">
        <v>844.787644</v>
      </c>
      <c r="BX53" s="1">
        <v>0.412827</v>
      </c>
      <c r="BY53" s="1">
        <v>1319.7808620000001</v>
      </c>
      <c r="BZ53" s="1">
        <v>9.5653600000000001</v>
      </c>
      <c r="CA53" s="1">
        <v>26.424949000000002</v>
      </c>
      <c r="CB53" s="1">
        <v>64.009690000000006</v>
      </c>
      <c r="CC53" s="1">
        <v>29.219942</v>
      </c>
      <c r="CD53" s="1">
        <v>70.780057999999997</v>
      </c>
    </row>
    <row r="54" spans="1:82" x14ac:dyDescent="0.4">
      <c r="A54">
        <v>21</v>
      </c>
      <c r="B54" t="s">
        <v>27</v>
      </c>
      <c r="C54">
        <v>2</v>
      </c>
      <c r="D54" s="1">
        <v>3</v>
      </c>
      <c r="E54" s="1">
        <v>1</v>
      </c>
      <c r="F54" s="1">
        <v>31</v>
      </c>
      <c r="J54">
        <v>471.10488318872802</v>
      </c>
      <c r="K54">
        <v>39.276441292651199</v>
      </c>
      <c r="L54">
        <v>24.872677425224801</v>
      </c>
      <c r="M54">
        <v>18.560776228920101</v>
      </c>
      <c r="N54">
        <v>22.287939774297701</v>
      </c>
      <c r="O54">
        <v>16.765290905930399</v>
      </c>
      <c r="Q54">
        <v>350.09181712866501</v>
      </c>
      <c r="R54">
        <v>52.904986181938398</v>
      </c>
      <c r="S54">
        <v>37.619781944842899</v>
      </c>
      <c r="T54">
        <v>26.258488994359901</v>
      </c>
      <c r="U54">
        <v>30.287233437448599</v>
      </c>
      <c r="V54">
        <v>21.9260770515898</v>
      </c>
      <c r="X54">
        <f t="shared" si="20"/>
        <v>-0.12893564599461849</v>
      </c>
      <c r="Y54">
        <f t="shared" si="21"/>
        <v>0.12936447436841947</v>
      </c>
      <c r="Z54">
        <f t="shared" si="22"/>
        <v>0.17969373640680186</v>
      </c>
      <c r="AA54">
        <f t="shared" si="23"/>
        <v>0.15067359678164327</v>
      </c>
      <c r="AB54">
        <f t="shared" si="24"/>
        <v>0.13318967932464432</v>
      </c>
      <c r="AC54">
        <f t="shared" si="25"/>
        <v>0.11654984238423438</v>
      </c>
      <c r="AF54">
        <v>0.81342678782160605</v>
      </c>
      <c r="AG54">
        <v>6.7816128887261698E-2</v>
      </c>
      <c r="AH54">
        <v>4.2946067477756103E-2</v>
      </c>
      <c r="AI54">
        <v>3.2047709811824997E-2</v>
      </c>
      <c r="AJ54">
        <v>3.8483165648923102E-2</v>
      </c>
      <c r="AK54">
        <v>2.8947559694562801E-2</v>
      </c>
      <c r="AM54">
        <v>0.696380933844025</v>
      </c>
      <c r="AN54">
        <v>0.105235317936162</v>
      </c>
      <c r="AO54">
        <v>7.4830937485551696E-2</v>
      </c>
      <c r="AP54">
        <v>5.2231758049074997E-2</v>
      </c>
      <c r="AQ54">
        <v>6.0245486677487699E-2</v>
      </c>
      <c r="AR54">
        <v>4.3613992860366102E-2</v>
      </c>
      <c r="AT54">
        <f t="shared" si="2"/>
        <v>0.75490386083281558</v>
      </c>
      <c r="AU54">
        <f t="shared" si="3"/>
        <v>8.6525723411711858E-2</v>
      </c>
      <c r="AV54">
        <f t="shared" si="4"/>
        <v>5.88885024816539E-2</v>
      </c>
      <c r="AW54">
        <f t="shared" si="5"/>
        <v>4.2139733930449993E-2</v>
      </c>
      <c r="AX54">
        <f t="shared" si="6"/>
        <v>4.9364326163205401E-2</v>
      </c>
      <c r="AY54">
        <f t="shared" si="7"/>
        <v>3.6280776277464455E-2</v>
      </c>
      <c r="BH54" s="1">
        <v>177.778651</v>
      </c>
      <c r="BI54" s="1">
        <v>337.49834299999998</v>
      </c>
      <c r="BJ54" s="1">
        <v>178.88000299999999</v>
      </c>
      <c r="BK54" s="1">
        <v>19.82151</v>
      </c>
      <c r="BL54" s="1">
        <v>357.09721100000002</v>
      </c>
      <c r="BM54" s="1">
        <v>0.99888900000000003</v>
      </c>
      <c r="BN54" s="1">
        <v>0.99888900000000003</v>
      </c>
      <c r="BO54" s="1">
        <v>20</v>
      </c>
      <c r="BP54" s="1">
        <v>252.50570400000001</v>
      </c>
      <c r="BQ54" s="1">
        <v>15.711748</v>
      </c>
      <c r="BR54" s="1">
        <v>12463.659036999999</v>
      </c>
      <c r="BS54" s="1">
        <v>16.071141000000001</v>
      </c>
      <c r="BT54" s="1">
        <v>0.29466700000000001</v>
      </c>
      <c r="BU54" s="1">
        <v>66.823205999999999</v>
      </c>
      <c r="BV54" s="1">
        <v>11.995715000000001</v>
      </c>
      <c r="BW54" s="1">
        <v>66.019889000000006</v>
      </c>
      <c r="BX54" s="1">
        <v>0.181699</v>
      </c>
      <c r="BY54" s="1">
        <v>144.83881</v>
      </c>
      <c r="BZ54" s="1">
        <v>46.136257000000001</v>
      </c>
      <c r="CA54" s="1">
        <v>8.282114</v>
      </c>
      <c r="CB54" s="1">
        <v>45.581629</v>
      </c>
      <c r="CC54" s="1">
        <v>15.376046000000001</v>
      </c>
      <c r="CD54" s="1">
        <v>84.623953999999998</v>
      </c>
    </row>
    <row r="55" spans="1:82" x14ac:dyDescent="0.4">
      <c r="A55">
        <v>21</v>
      </c>
      <c r="B55" t="s">
        <v>28</v>
      </c>
      <c r="C55">
        <v>3</v>
      </c>
      <c r="D55" s="1">
        <v>5</v>
      </c>
      <c r="E55" s="1">
        <v>3</v>
      </c>
      <c r="F55" s="1">
        <v>31</v>
      </c>
      <c r="J55">
        <v>545.95955890682399</v>
      </c>
      <c r="K55">
        <v>61.187778930765901</v>
      </c>
      <c r="L55">
        <v>11.040175668465199</v>
      </c>
      <c r="M55">
        <v>4.3398514550621199</v>
      </c>
      <c r="N55">
        <v>3.0924775250064398</v>
      </c>
      <c r="O55">
        <v>2.47072014738001</v>
      </c>
      <c r="Q55">
        <v>423.15463436816401</v>
      </c>
      <c r="R55">
        <v>62.7954298213659</v>
      </c>
      <c r="S55">
        <v>9.6945087066857294</v>
      </c>
      <c r="T55">
        <v>3.4612525773548999</v>
      </c>
      <c r="U55">
        <v>2.8132968584076301</v>
      </c>
      <c r="V55">
        <v>1.9089269253491401</v>
      </c>
      <c r="X55">
        <f t="shared" si="20"/>
        <v>-0.11066137260910525</v>
      </c>
      <c r="Y55">
        <f t="shared" si="21"/>
        <v>1.1263348510388571E-2</v>
      </c>
      <c r="Z55">
        <f t="shared" si="22"/>
        <v>-5.6450178810885099E-2</v>
      </c>
      <c r="AA55">
        <f t="shared" si="23"/>
        <v>-9.8241572542365097E-2</v>
      </c>
      <c r="AB55">
        <f t="shared" si="24"/>
        <v>-4.1090990787039428E-2</v>
      </c>
      <c r="AC55">
        <f t="shared" si="25"/>
        <v>-0.11203425297235747</v>
      </c>
      <c r="AF55">
        <v>0.88374355366667501</v>
      </c>
      <c r="AG55">
        <v>9.9044525022181307E-2</v>
      </c>
      <c r="AH55">
        <v>1.78707084053801E-2</v>
      </c>
      <c r="AI55">
        <v>7.0249081359827197E-3</v>
      </c>
      <c r="AJ55">
        <v>5.0057866612972599E-3</v>
      </c>
      <c r="AK55">
        <v>3.9993493428953902E-3</v>
      </c>
      <c r="AM55">
        <v>0.859878786442275</v>
      </c>
      <c r="AN55">
        <v>0.12760455304842</v>
      </c>
      <c r="AO55">
        <v>1.9699896219513499E-2</v>
      </c>
      <c r="AP55">
        <v>7.0334989246428701E-3</v>
      </c>
      <c r="AQ55">
        <v>5.7168091568263303E-3</v>
      </c>
      <c r="AR55">
        <v>3.8790683940567901E-3</v>
      </c>
      <c r="AT55">
        <f t="shared" si="2"/>
        <v>0.87181117005447506</v>
      </c>
      <c r="AU55">
        <f t="shared" si="3"/>
        <v>0.11332453903530065</v>
      </c>
      <c r="AV55">
        <f t="shared" si="4"/>
        <v>1.8785302312446801E-2</v>
      </c>
      <c r="AW55">
        <f t="shared" si="5"/>
        <v>7.0292035303127949E-3</v>
      </c>
      <c r="AX55">
        <f t="shared" si="6"/>
        <v>5.3612979090617956E-3</v>
      </c>
      <c r="AY55">
        <f t="shared" si="7"/>
        <v>3.9392088684760901E-3</v>
      </c>
      <c r="BH55" s="1">
        <v>168.84902299999999</v>
      </c>
      <c r="BI55" s="1">
        <v>355.347037</v>
      </c>
      <c r="BJ55" s="1">
        <v>192.63091399999999</v>
      </c>
      <c r="BK55" s="1">
        <v>94.643843000000004</v>
      </c>
      <c r="BL55" s="1">
        <v>355.79548299999999</v>
      </c>
      <c r="BM55" s="1">
        <v>0.96433000000000002</v>
      </c>
      <c r="BN55" s="1">
        <v>0.96064000000000005</v>
      </c>
      <c r="BO55" s="1">
        <v>160</v>
      </c>
      <c r="BP55" s="1">
        <v>251.57976400000001</v>
      </c>
      <c r="BQ55" s="1">
        <v>102.49392</v>
      </c>
      <c r="BR55" s="1">
        <v>81007.211058999994</v>
      </c>
      <c r="BS55" s="1">
        <v>2.4545819999999998</v>
      </c>
      <c r="BT55" s="1">
        <v>0.16666700000000001</v>
      </c>
      <c r="BU55" s="1">
        <v>310.05010900000002</v>
      </c>
      <c r="BV55" s="1">
        <v>2514.6883480000001</v>
      </c>
      <c r="BW55" s="1">
        <v>6966.3868140000004</v>
      </c>
      <c r="BX55" s="1">
        <v>0.36097499999999999</v>
      </c>
      <c r="BY55" s="1">
        <v>9791.1252700000005</v>
      </c>
      <c r="BZ55" s="1">
        <v>3.1666439999999998</v>
      </c>
      <c r="CA55" s="1">
        <v>25.683344000000002</v>
      </c>
      <c r="CB55" s="1">
        <v>71.150012000000004</v>
      </c>
      <c r="CC55" s="1">
        <v>26.523240000000001</v>
      </c>
      <c r="CD55" s="1">
        <v>73.476759999999999</v>
      </c>
    </row>
    <row r="56" spans="1:82" x14ac:dyDescent="0.4">
      <c r="A56">
        <v>22</v>
      </c>
      <c r="B56" t="s">
        <v>29</v>
      </c>
      <c r="C56">
        <v>1</v>
      </c>
      <c r="D56" s="1">
        <v>5</v>
      </c>
      <c r="E56" s="1">
        <v>7</v>
      </c>
      <c r="F56" s="1">
        <v>22</v>
      </c>
      <c r="G56" s="1" t="s">
        <v>110</v>
      </c>
      <c r="J56">
        <v>442.41462418554499</v>
      </c>
      <c r="K56">
        <v>19.362966257130999</v>
      </c>
      <c r="L56">
        <v>45.579233397402497</v>
      </c>
      <c r="M56">
        <v>5.5424304493541801</v>
      </c>
      <c r="N56">
        <v>6.0304897447478396</v>
      </c>
      <c r="O56">
        <v>3.3951828179847201</v>
      </c>
      <c r="Q56">
        <v>132.608239844385</v>
      </c>
      <c r="R56">
        <v>16.334054269444898</v>
      </c>
      <c r="S56">
        <v>43.983535012923298</v>
      </c>
      <c r="T56">
        <v>4.6903514700344404</v>
      </c>
      <c r="U56">
        <v>5.2828495645231</v>
      </c>
      <c r="V56">
        <v>2.71985139947467</v>
      </c>
      <c r="X56">
        <f t="shared" si="20"/>
        <v>-0.5232589637523648</v>
      </c>
      <c r="Y56">
        <f t="shared" si="21"/>
        <v>-7.3877894448526771E-2</v>
      </c>
      <c r="Z56">
        <f t="shared" si="22"/>
        <v>-1.5476885224672277E-2</v>
      </c>
      <c r="AA56">
        <f t="shared" si="23"/>
        <v>-7.2494864305282736E-2</v>
      </c>
      <c r="AB56">
        <f t="shared" si="24"/>
        <v>-5.7484339445233901E-2</v>
      </c>
      <c r="AC56">
        <f t="shared" si="25"/>
        <v>-9.6317987618225798E-2</v>
      </c>
      <c r="AF56">
        <v>0.85715600756255095</v>
      </c>
      <c r="AG56">
        <v>3.7514769956090099E-2</v>
      </c>
      <c r="AH56">
        <v>8.8307464516123702E-2</v>
      </c>
      <c r="AI56">
        <v>1.0738179292574901E-2</v>
      </c>
      <c r="AJ56">
        <v>1.16837695471095E-2</v>
      </c>
      <c r="AK56">
        <v>6.5779953693127597E-3</v>
      </c>
      <c r="AM56">
        <v>0.66294932761129999</v>
      </c>
      <c r="AN56">
        <v>8.1658955037803904E-2</v>
      </c>
      <c r="AO56">
        <v>0.21988720306523399</v>
      </c>
      <c r="AP56">
        <v>2.34485078526715E-2</v>
      </c>
      <c r="AQ56">
        <v>2.6410587839655501E-2</v>
      </c>
      <c r="AR56">
        <v>1.3597372671565E-2</v>
      </c>
      <c r="AT56">
        <f t="shared" si="2"/>
        <v>0.76005266758692547</v>
      </c>
      <c r="AU56">
        <f t="shared" si="3"/>
        <v>5.9586862496947002E-2</v>
      </c>
      <c r="AV56">
        <f t="shared" si="4"/>
        <v>0.15409733379067886</v>
      </c>
      <c r="AW56">
        <f t="shared" si="5"/>
        <v>1.7093343572623199E-2</v>
      </c>
      <c r="AX56">
        <f t="shared" si="6"/>
        <v>1.9047178693382502E-2</v>
      </c>
      <c r="AY56">
        <f t="shared" si="7"/>
        <v>1.0087684020438879E-2</v>
      </c>
      <c r="BH56" s="1">
        <v>75.453698000000003</v>
      </c>
      <c r="BI56" s="1">
        <v>795.18965500000002</v>
      </c>
      <c r="BJ56" s="1">
        <v>58.828493000000002</v>
      </c>
      <c r="BK56" s="1">
        <v>31.713073000000001</v>
      </c>
      <c r="BL56" s="1">
        <v>48.662100000000002</v>
      </c>
      <c r="BM56" s="1">
        <v>0.68181800000000004</v>
      </c>
      <c r="BN56" s="1">
        <v>0.22159100000000001</v>
      </c>
      <c r="BO56" s="1">
        <v>28</v>
      </c>
      <c r="BP56" s="1">
        <v>34.196064999999997</v>
      </c>
      <c r="BQ56" s="1">
        <v>58.291055</v>
      </c>
      <c r="BR56" s="1">
        <v>6262.2142819999999</v>
      </c>
      <c r="BS56" s="1">
        <v>0.58664300000000003</v>
      </c>
      <c r="BT56" s="1">
        <v>0.13333300000000001</v>
      </c>
      <c r="BU56" s="1">
        <v>708.059572</v>
      </c>
      <c r="BV56" s="1">
        <v>1098.652157</v>
      </c>
      <c r="BW56" s="1">
        <v>854.14358800000002</v>
      </c>
      <c r="BX56" s="1">
        <v>1.286262</v>
      </c>
      <c r="BY56" s="1">
        <v>2660.8553160000001</v>
      </c>
      <c r="BZ56" s="1">
        <v>26.610223999999999</v>
      </c>
      <c r="CA56" s="1">
        <v>41.289436000000002</v>
      </c>
      <c r="CB56" s="1">
        <v>32.100338999999998</v>
      </c>
      <c r="CC56" s="1">
        <v>56.260475</v>
      </c>
      <c r="CD56" s="1">
        <v>43.739525</v>
      </c>
    </row>
    <row r="57" spans="1:82" x14ac:dyDescent="0.4">
      <c r="A57">
        <v>22</v>
      </c>
      <c r="B57" t="s">
        <v>30</v>
      </c>
      <c r="C57">
        <v>2</v>
      </c>
      <c r="D57" s="1">
        <v>5</v>
      </c>
      <c r="E57" s="1">
        <v>3</v>
      </c>
      <c r="F57" s="1">
        <v>22</v>
      </c>
      <c r="J57">
        <v>174.55265320362599</v>
      </c>
      <c r="K57">
        <v>15.651617139227101</v>
      </c>
      <c r="L57">
        <v>46.028533172283801</v>
      </c>
      <c r="M57">
        <v>4.46994696717646</v>
      </c>
      <c r="N57">
        <v>5.5906881535164503</v>
      </c>
      <c r="O57">
        <v>2.1027283367319298</v>
      </c>
      <c r="Q57">
        <v>221.071453404522</v>
      </c>
      <c r="R57">
        <v>13.9053576844896</v>
      </c>
      <c r="S57">
        <v>45.256180990075499</v>
      </c>
      <c r="T57">
        <v>4.1086029930757304</v>
      </c>
      <c r="U57">
        <v>5.1542003159350003</v>
      </c>
      <c r="V57">
        <v>1.6700251149177201</v>
      </c>
      <c r="X57">
        <f t="shared" si="20"/>
        <v>0.10260621197777287</v>
      </c>
      <c r="Y57">
        <f t="shared" si="21"/>
        <v>-5.1377051292754272E-2</v>
      </c>
      <c r="Z57">
        <f t="shared" si="22"/>
        <v>-7.3492325270714254E-3</v>
      </c>
      <c r="AA57">
        <f t="shared" si="23"/>
        <v>-3.66081923655317E-2</v>
      </c>
      <c r="AB57">
        <f t="shared" si="24"/>
        <v>-3.5303974927006432E-2</v>
      </c>
      <c r="AC57">
        <f t="shared" si="25"/>
        <v>-0.10006016497245862</v>
      </c>
      <c r="AF57">
        <v>0.716041383147761</v>
      </c>
      <c r="AG57">
        <v>6.4205300688254197E-2</v>
      </c>
      <c r="AH57">
        <v>0.18881600452384301</v>
      </c>
      <c r="AI57">
        <v>1.8336398503438399E-2</v>
      </c>
      <c r="AJ57">
        <v>2.2933848353034199E-2</v>
      </c>
      <c r="AK57">
        <v>8.6257096582834595E-3</v>
      </c>
      <c r="AM57">
        <v>0.77004457785541802</v>
      </c>
      <c r="AN57">
        <v>4.8435675991545198E-2</v>
      </c>
      <c r="AO57">
        <v>0.15763806791500601</v>
      </c>
      <c r="AP57">
        <v>1.43112437569644E-2</v>
      </c>
      <c r="AQ57">
        <v>1.7953308513351699E-2</v>
      </c>
      <c r="AR57">
        <v>5.8170956259631403E-3</v>
      </c>
      <c r="AT57">
        <f t="shared" si="2"/>
        <v>0.74304298050158946</v>
      </c>
      <c r="AU57">
        <f t="shared" si="3"/>
        <v>5.6320488339899694E-2</v>
      </c>
      <c r="AV57">
        <f t="shared" si="4"/>
        <v>0.17322703621942451</v>
      </c>
      <c r="AW57">
        <f t="shared" si="5"/>
        <v>1.6323821130201401E-2</v>
      </c>
      <c r="AX57">
        <f t="shared" si="6"/>
        <v>2.0443578433192951E-2</v>
      </c>
      <c r="AY57">
        <f t="shared" si="7"/>
        <v>7.2214026421232999E-3</v>
      </c>
      <c r="BH57" s="1">
        <v>65.469542000000004</v>
      </c>
      <c r="BI57" s="1">
        <v>916.45669299999997</v>
      </c>
      <c r="BJ57" s="1">
        <v>75.805672999999999</v>
      </c>
      <c r="BK57" s="1">
        <v>44.020651999999998</v>
      </c>
      <c r="BL57" s="1">
        <v>64.783197999999999</v>
      </c>
      <c r="BM57" s="1">
        <v>0.72548999999999997</v>
      </c>
      <c r="BN57" s="1">
        <v>0.36274499999999998</v>
      </c>
      <c r="BO57" s="1">
        <v>48</v>
      </c>
      <c r="BP57" s="1">
        <v>45.447588000000003</v>
      </c>
      <c r="BQ57" s="1">
        <v>78.817993000000001</v>
      </c>
      <c r="BR57" s="1">
        <v>11253.460397999999</v>
      </c>
      <c r="BS57" s="1">
        <v>0.57661399999999996</v>
      </c>
      <c r="BT57" s="1">
        <v>0.23333300000000001</v>
      </c>
      <c r="BU57" s="1">
        <v>1258.8218750000001</v>
      </c>
      <c r="BV57" s="1">
        <v>1758.4328439999999</v>
      </c>
      <c r="BW57" s="1">
        <v>1592.473058</v>
      </c>
      <c r="BX57" s="1">
        <v>1.1042149999999999</v>
      </c>
      <c r="BY57" s="1">
        <v>4609.7277770000001</v>
      </c>
      <c r="BZ57" s="1">
        <v>27.307943999999999</v>
      </c>
      <c r="CA57" s="1">
        <v>38.146132000000001</v>
      </c>
      <c r="CB57" s="1">
        <v>34.545923999999999</v>
      </c>
      <c r="CC57" s="1">
        <v>52.476342000000002</v>
      </c>
      <c r="CD57" s="1">
        <v>47.523657999999998</v>
      </c>
    </row>
    <row r="58" spans="1:82" x14ac:dyDescent="0.4">
      <c r="A58">
        <v>22</v>
      </c>
      <c r="B58" t="s">
        <v>31</v>
      </c>
      <c r="C58">
        <v>3</v>
      </c>
      <c r="D58" s="1">
        <v>5</v>
      </c>
      <c r="E58" s="1">
        <v>5</v>
      </c>
      <c r="F58" s="1">
        <v>22</v>
      </c>
      <c r="J58">
        <v>134.49655221634899</v>
      </c>
      <c r="K58">
        <v>26.3921589072845</v>
      </c>
      <c r="L58">
        <v>51.702309272479503</v>
      </c>
      <c r="M58">
        <v>6.7956580337936803</v>
      </c>
      <c r="N58">
        <v>7.2836199295942299</v>
      </c>
      <c r="O58">
        <v>3.4926621573349599</v>
      </c>
      <c r="Q58">
        <v>319.46305907184501</v>
      </c>
      <c r="R58">
        <v>31.170556579263899</v>
      </c>
      <c r="S58">
        <v>52.104340486916598</v>
      </c>
      <c r="T58">
        <v>7.1338089195260999</v>
      </c>
      <c r="U58">
        <v>7.2599636345162999</v>
      </c>
      <c r="V58">
        <v>3.4022060210971201</v>
      </c>
      <c r="X58">
        <f t="shared" si="20"/>
        <v>0.37570949454707669</v>
      </c>
      <c r="Y58">
        <f t="shared" si="21"/>
        <v>7.2269639643959493E-2</v>
      </c>
      <c r="Z58">
        <f t="shared" si="22"/>
        <v>3.3639619687328981E-3</v>
      </c>
      <c r="AA58">
        <f t="shared" si="23"/>
        <v>2.1089956002165011E-2</v>
      </c>
      <c r="AB58">
        <f t="shared" si="24"/>
        <v>-1.4128302601648102E-3</v>
      </c>
      <c r="AC58">
        <f t="shared" si="25"/>
        <v>-1.1395969840050868E-2</v>
      </c>
      <c r="AF58">
        <v>0.60709770325470602</v>
      </c>
      <c r="AG58">
        <v>0.119130333027213</v>
      </c>
      <c r="AH58">
        <v>0.23337663824865901</v>
      </c>
      <c r="AI58">
        <v>3.06746032997493E-2</v>
      </c>
      <c r="AJ58">
        <v>3.2877191703203697E-2</v>
      </c>
      <c r="AK58">
        <v>1.57653645318123E-2</v>
      </c>
      <c r="AM58">
        <v>0.77697984127235697</v>
      </c>
      <c r="AN58">
        <v>7.5811250833483099E-2</v>
      </c>
      <c r="AO58">
        <v>0.12672520672263601</v>
      </c>
      <c r="AP58">
        <v>1.73504433910594E-2</v>
      </c>
      <c r="AQ58">
        <v>1.7657269697404901E-2</v>
      </c>
      <c r="AR58">
        <v>8.2746515416463398E-3</v>
      </c>
      <c r="AT58">
        <f t="shared" si="2"/>
        <v>0.6920387722635315</v>
      </c>
      <c r="AU58">
        <f t="shared" si="3"/>
        <v>9.747079193034805E-2</v>
      </c>
      <c r="AV58">
        <f t="shared" si="4"/>
        <v>0.18005092248564752</v>
      </c>
      <c r="AW58">
        <f t="shared" si="5"/>
        <v>2.4012523345404352E-2</v>
      </c>
      <c r="AX58">
        <f t="shared" si="6"/>
        <v>2.5267230700304299E-2</v>
      </c>
      <c r="AY58">
        <f t="shared" si="7"/>
        <v>1.202000803672932E-2</v>
      </c>
      <c r="BH58" s="1">
        <v>74.233631000000003</v>
      </c>
      <c r="BI58" s="1">
        <v>808.25899300000003</v>
      </c>
      <c r="BJ58" s="1">
        <v>74.672555000000003</v>
      </c>
      <c r="BK58" s="1">
        <v>51.751514999999998</v>
      </c>
      <c r="BL58" s="1">
        <v>68.763598000000002</v>
      </c>
      <c r="BM58" s="1">
        <v>0.59009</v>
      </c>
      <c r="BN58" s="1">
        <v>0.27477499999999999</v>
      </c>
      <c r="BO58" s="1">
        <v>52</v>
      </c>
      <c r="BP58" s="1">
        <v>48.171489000000001</v>
      </c>
      <c r="BQ58" s="1">
        <v>84.902767999999995</v>
      </c>
      <c r="BR58" s="1">
        <v>12848.776952</v>
      </c>
      <c r="BS58" s="1">
        <v>0.56737199999999999</v>
      </c>
      <c r="BT58" s="1">
        <v>0.16666700000000001</v>
      </c>
      <c r="BU58" s="1">
        <v>1109.109547</v>
      </c>
      <c r="BV58" s="1">
        <v>1361.6509329999999</v>
      </c>
      <c r="BW58" s="1">
        <v>1503.208713</v>
      </c>
      <c r="BX58" s="1">
        <v>0.90583000000000002</v>
      </c>
      <c r="BY58" s="1">
        <v>3973.9691929999999</v>
      </c>
      <c r="BZ58" s="1">
        <v>27.909364</v>
      </c>
      <c r="CA58" s="1">
        <v>34.264254999999999</v>
      </c>
      <c r="CB58" s="1">
        <v>37.826380999999998</v>
      </c>
      <c r="CC58" s="1">
        <v>47.529412000000001</v>
      </c>
      <c r="CD58" s="1">
        <v>52.470587999999999</v>
      </c>
    </row>
    <row r="59" spans="1:82" x14ac:dyDescent="0.4">
      <c r="A59">
        <v>23</v>
      </c>
      <c r="B59" t="s">
        <v>32</v>
      </c>
      <c r="C59">
        <v>1</v>
      </c>
      <c r="D59" s="1">
        <v>8</v>
      </c>
      <c r="E59" s="1">
        <v>8</v>
      </c>
      <c r="F59" s="1">
        <v>2</v>
      </c>
      <c r="G59" s="1" t="s">
        <v>110</v>
      </c>
      <c r="J59">
        <v>421.591143650802</v>
      </c>
      <c r="K59">
        <v>36.7480574077629</v>
      </c>
      <c r="L59">
        <v>9.2845622985946594</v>
      </c>
      <c r="M59">
        <v>2.9914721182177102</v>
      </c>
      <c r="N59">
        <v>4.2065399440535298</v>
      </c>
      <c r="O59">
        <v>3.1647906445428502</v>
      </c>
      <c r="Q59">
        <v>445.498706725945</v>
      </c>
      <c r="R59">
        <v>33.677198157469803</v>
      </c>
      <c r="S59">
        <v>8.8634782096073295</v>
      </c>
      <c r="T59">
        <v>2.74197218291684</v>
      </c>
      <c r="U59">
        <v>3.5195738173612399</v>
      </c>
      <c r="V59">
        <v>2.8519015914394599</v>
      </c>
      <c r="X59">
        <f t="shared" si="20"/>
        <v>2.3954968533744125E-2</v>
      </c>
      <c r="Y59">
        <f t="shared" si="21"/>
        <v>-3.7898433834115064E-2</v>
      </c>
      <c r="Z59">
        <f t="shared" si="22"/>
        <v>-2.0157253300440936E-2</v>
      </c>
      <c r="AA59">
        <f t="shared" si="23"/>
        <v>-3.7821914795218958E-2</v>
      </c>
      <c r="AB59">
        <f t="shared" si="24"/>
        <v>-7.7434938944327625E-2</v>
      </c>
      <c r="AC59">
        <f t="shared" si="25"/>
        <v>-4.5210450553963E-2</v>
      </c>
      <c r="AF59">
        <v>0.90201466457548096</v>
      </c>
      <c r="AG59">
        <v>7.8624248103084493E-2</v>
      </c>
      <c r="AH59">
        <v>1.98647705807448E-2</v>
      </c>
      <c r="AI59">
        <v>6.4003994389788699E-3</v>
      </c>
      <c r="AJ59">
        <v>9.0000958838965198E-3</v>
      </c>
      <c r="AK59">
        <v>6.7712228178432397E-3</v>
      </c>
      <c r="AM59">
        <v>0.913022306581739</v>
      </c>
      <c r="AN59">
        <v>6.9019354437449401E-2</v>
      </c>
      <c r="AO59">
        <v>1.8165155582036099E-2</v>
      </c>
      <c r="AP59">
        <v>5.61950400581017E-3</v>
      </c>
      <c r="AQ59">
        <v>7.2131509169310699E-3</v>
      </c>
      <c r="AR59">
        <v>5.8447975939063196E-3</v>
      </c>
      <c r="AT59">
        <f t="shared" si="2"/>
        <v>0.90751848557861003</v>
      </c>
      <c r="AU59">
        <f t="shared" si="3"/>
        <v>7.382180127026694E-2</v>
      </c>
      <c r="AV59">
        <f t="shared" si="4"/>
        <v>1.9014963081390449E-2</v>
      </c>
      <c r="AW59">
        <f t="shared" si="5"/>
        <v>6.0099517223945204E-3</v>
      </c>
      <c r="AX59">
        <f t="shared" si="6"/>
        <v>8.1066234004137944E-3</v>
      </c>
      <c r="AY59">
        <f t="shared" si="7"/>
        <v>6.3080102058747801E-3</v>
      </c>
      <c r="BH59" s="1">
        <v>84.935430999999994</v>
      </c>
      <c r="BI59" s="1">
        <v>706.41897200000005</v>
      </c>
      <c r="BJ59" s="1">
        <v>28.303799999999999</v>
      </c>
      <c r="BK59" s="1">
        <v>21.32883</v>
      </c>
      <c r="BL59" s="1">
        <v>37.232551999999998</v>
      </c>
      <c r="BM59" s="1">
        <v>0.59163299999999996</v>
      </c>
      <c r="BN59" s="1">
        <v>0.18924299999999999</v>
      </c>
      <c r="BO59" s="1">
        <v>20</v>
      </c>
      <c r="BP59" s="1">
        <v>26.327368</v>
      </c>
      <c r="BQ59" s="1">
        <v>30.158766</v>
      </c>
      <c r="BR59" s="1">
        <v>2494.427514</v>
      </c>
      <c r="BS59" s="1">
        <v>0.87295900000000004</v>
      </c>
      <c r="BT59" s="1">
        <v>0.25179099999999999</v>
      </c>
      <c r="BU59" s="1">
        <v>157.85933600000001</v>
      </c>
      <c r="BV59" s="1">
        <v>127.595151</v>
      </c>
      <c r="BW59" s="1">
        <v>260.43293199999999</v>
      </c>
      <c r="BX59" s="1">
        <v>0.48993500000000001</v>
      </c>
      <c r="BY59" s="1">
        <v>545.88742000000002</v>
      </c>
      <c r="BZ59" s="1">
        <v>28.917929000000001</v>
      </c>
      <c r="CA59" s="1">
        <v>23.373895000000001</v>
      </c>
      <c r="CB59" s="1">
        <v>47.708176000000002</v>
      </c>
      <c r="CC59" s="1">
        <v>32.882967999999998</v>
      </c>
      <c r="CD59" s="1">
        <v>67.117031999999995</v>
      </c>
    </row>
    <row r="60" spans="1:82" x14ac:dyDescent="0.4">
      <c r="A60">
        <v>23</v>
      </c>
      <c r="B60" t="s">
        <v>33</v>
      </c>
      <c r="C60">
        <v>2</v>
      </c>
      <c r="D60" s="1">
        <v>8</v>
      </c>
      <c r="E60" s="1">
        <v>9</v>
      </c>
      <c r="F60" s="1">
        <v>2</v>
      </c>
      <c r="J60">
        <v>209.43907991188499</v>
      </c>
      <c r="K60">
        <v>13.6776453595366</v>
      </c>
      <c r="L60">
        <v>7.9970401151893702</v>
      </c>
      <c r="M60">
        <v>2.4998328264624199</v>
      </c>
      <c r="N60">
        <v>2.69841197271634</v>
      </c>
      <c r="O60">
        <v>2.10340393500895</v>
      </c>
      <c r="Q60">
        <v>241.73697982664299</v>
      </c>
      <c r="R60">
        <v>10.2726140628479</v>
      </c>
      <c r="S60">
        <v>6.2295670771160498</v>
      </c>
      <c r="T60">
        <v>2.01347942501602</v>
      </c>
      <c r="U60">
        <v>2.2347538195046499</v>
      </c>
      <c r="V60">
        <v>2.0043864366865698</v>
      </c>
      <c r="X60">
        <f t="shared" si="20"/>
        <v>6.2285370580497101E-2</v>
      </c>
      <c r="Y60">
        <f t="shared" si="21"/>
        <v>-0.1243303667635216</v>
      </c>
      <c r="Z60">
        <f t="shared" si="22"/>
        <v>-0.10847140808024947</v>
      </c>
      <c r="AA60">
        <f t="shared" si="23"/>
        <v>-9.3963770607830177E-2</v>
      </c>
      <c r="AB60">
        <f t="shared" si="24"/>
        <v>-8.187856690796258E-2</v>
      </c>
      <c r="AC60">
        <f t="shared" si="25"/>
        <v>-2.0941226764185139E-2</v>
      </c>
      <c r="AF60">
        <v>0.89536472784048604</v>
      </c>
      <c r="AG60">
        <v>5.8472760766484097E-2</v>
      </c>
      <c r="AH60">
        <v>3.4187829937366299E-2</v>
      </c>
      <c r="AI60">
        <v>1.0686936455478699E-2</v>
      </c>
      <c r="AJ60">
        <v>1.1535874310416E-2</v>
      </c>
      <c r="AK60">
        <v>8.9921789792060097E-3</v>
      </c>
      <c r="AM60">
        <v>0.92500193953072496</v>
      </c>
      <c r="AN60">
        <v>3.93079616490584E-2</v>
      </c>
      <c r="AO60">
        <v>2.38373195234815E-2</v>
      </c>
      <c r="AP60">
        <v>7.7045405906893596E-3</v>
      </c>
      <c r="AQ60">
        <v>8.5512428379717099E-3</v>
      </c>
      <c r="AR60">
        <v>7.6697464443948801E-3</v>
      </c>
      <c r="AT60">
        <f t="shared" si="2"/>
        <v>0.91018333368560556</v>
      </c>
      <c r="AU60">
        <f t="shared" si="3"/>
        <v>4.8890361207771252E-2</v>
      </c>
      <c r="AV60">
        <f t="shared" si="4"/>
        <v>2.9012574730423901E-2</v>
      </c>
      <c r="AW60">
        <f t="shared" si="5"/>
        <v>9.1957385230840294E-3</v>
      </c>
      <c r="AX60">
        <f t="shared" si="6"/>
        <v>1.0043558574193855E-2</v>
      </c>
      <c r="AY60">
        <f t="shared" si="7"/>
        <v>8.3309627118004458E-3</v>
      </c>
      <c r="BH60" s="1">
        <v>82.301877000000005</v>
      </c>
      <c r="BI60" s="1">
        <v>729.02347399999996</v>
      </c>
      <c r="BJ60" s="1">
        <v>32.947879999999998</v>
      </c>
      <c r="BK60" s="1">
        <v>22.984762</v>
      </c>
      <c r="BL60" s="1">
        <v>38.566758</v>
      </c>
      <c r="BM60" s="1">
        <v>0.57210399999999995</v>
      </c>
      <c r="BN60" s="1">
        <v>0.21749399999999999</v>
      </c>
      <c r="BO60" s="1">
        <v>24</v>
      </c>
      <c r="BP60" s="1">
        <v>27.269569000000001</v>
      </c>
      <c r="BQ60" s="1">
        <v>37.776432</v>
      </c>
      <c r="BR60" s="1">
        <v>3236.3023189999999</v>
      </c>
      <c r="BS60" s="1">
        <v>0.72186700000000004</v>
      </c>
      <c r="BT60" s="1">
        <v>0.25759900000000002</v>
      </c>
      <c r="BU60" s="1">
        <v>143.160248</v>
      </c>
      <c r="BV60" s="1">
        <v>239.977521</v>
      </c>
      <c r="BW60" s="1">
        <v>441.49174299999999</v>
      </c>
      <c r="BX60" s="1">
        <v>0.54356099999999996</v>
      </c>
      <c r="BY60" s="1">
        <v>824.62951199999998</v>
      </c>
      <c r="BZ60" s="1">
        <v>17.360554</v>
      </c>
      <c r="CA60" s="1">
        <v>29.101253</v>
      </c>
      <c r="CB60" s="1">
        <v>53.538193</v>
      </c>
      <c r="CC60" s="1">
        <v>35.214723999999997</v>
      </c>
      <c r="CD60" s="1">
        <v>64.785275999999996</v>
      </c>
    </row>
    <row r="61" spans="1:82" x14ac:dyDescent="0.4">
      <c r="A61">
        <v>23</v>
      </c>
      <c r="B61" t="s">
        <v>34</v>
      </c>
      <c r="C61">
        <v>3</v>
      </c>
      <c r="D61" s="1">
        <v>8</v>
      </c>
      <c r="E61" s="1">
        <v>5</v>
      </c>
      <c r="F61" s="1">
        <v>2</v>
      </c>
      <c r="J61">
        <v>910.69116417633495</v>
      </c>
      <c r="K61">
        <v>25.4082777250688</v>
      </c>
      <c r="L61">
        <v>11.4975346773158</v>
      </c>
      <c r="M61">
        <v>4.6863995246035399</v>
      </c>
      <c r="N61">
        <v>4.9759484600100796</v>
      </c>
      <c r="O61">
        <v>3.7884270897577301</v>
      </c>
      <c r="Q61">
        <v>221.50831439289499</v>
      </c>
      <c r="R61">
        <v>12.371924647466299</v>
      </c>
      <c r="S61">
        <v>7.7322611954771503</v>
      </c>
      <c r="T61">
        <v>2.83976578222825</v>
      </c>
      <c r="U61">
        <v>3.3362816256787</v>
      </c>
      <c r="V61">
        <v>3.2720181392946701</v>
      </c>
      <c r="X61">
        <f t="shared" si="20"/>
        <v>-0.61398109066715545</v>
      </c>
      <c r="Y61">
        <f t="shared" si="21"/>
        <v>-0.3125379616048003</v>
      </c>
      <c r="Z61">
        <f t="shared" si="22"/>
        <v>-0.17229821205386886</v>
      </c>
      <c r="AA61">
        <f t="shared" si="23"/>
        <v>-0.21755678843227261</v>
      </c>
      <c r="AB61">
        <f t="shared" si="24"/>
        <v>-0.17361316972986229</v>
      </c>
      <c r="AC61">
        <f t="shared" si="25"/>
        <v>-6.3643230811698981E-2</v>
      </c>
      <c r="AF61">
        <v>0.95690253002932801</v>
      </c>
      <c r="AG61">
        <v>2.66975745403174E-2</v>
      </c>
      <c r="AH61">
        <v>1.2080956151336E-2</v>
      </c>
      <c r="AI61">
        <v>4.9242023401832999E-3</v>
      </c>
      <c r="AJ61">
        <v>5.2284439093967299E-3</v>
      </c>
      <c r="AK61">
        <v>3.9806639282588697E-3</v>
      </c>
      <c r="AM61">
        <v>0.897112512087614</v>
      </c>
      <c r="AN61">
        <v>5.0106509230893201E-2</v>
      </c>
      <c r="AO61">
        <v>3.1315791843769203E-2</v>
      </c>
      <c r="AP61">
        <v>1.15011006319E-2</v>
      </c>
      <c r="AQ61">
        <v>1.3511998402622301E-2</v>
      </c>
      <c r="AR61">
        <v>1.32517301690642E-2</v>
      </c>
      <c r="AT61">
        <f t="shared" si="2"/>
        <v>0.92700752105847095</v>
      </c>
      <c r="AU61">
        <f t="shared" si="3"/>
        <v>3.8402041885605302E-2</v>
      </c>
      <c r="AV61">
        <f t="shared" si="4"/>
        <v>2.1698373997552603E-2</v>
      </c>
      <c r="AW61">
        <f t="shared" si="5"/>
        <v>8.2126514860416493E-3</v>
      </c>
      <c r="AX61">
        <f t="shared" si="6"/>
        <v>9.3702211560095158E-3</v>
      </c>
      <c r="AY61">
        <f t="shared" si="7"/>
        <v>8.6161970486615357E-3</v>
      </c>
      <c r="BH61" s="1">
        <v>82.530627999999993</v>
      </c>
      <c r="BI61" s="1">
        <v>727.00283300000001</v>
      </c>
      <c r="BJ61" s="1">
        <v>56.729391</v>
      </c>
      <c r="BK61" s="1">
        <v>21.960854999999999</v>
      </c>
      <c r="BL61" s="1">
        <v>33.920955999999997</v>
      </c>
      <c r="BM61" s="1">
        <v>0.47197600000000001</v>
      </c>
      <c r="BN61" s="1">
        <v>0.15044199999999999</v>
      </c>
      <c r="BO61" s="1">
        <v>48</v>
      </c>
      <c r="BP61" s="1">
        <v>23.862538000000001</v>
      </c>
      <c r="BQ61" s="1">
        <v>75.923755</v>
      </c>
      <c r="BR61" s="1">
        <v>5691.7286610000001</v>
      </c>
      <c r="BS61" s="1">
        <v>0.31429600000000002</v>
      </c>
      <c r="BT61" s="1">
        <v>0.1</v>
      </c>
      <c r="BU61" s="1">
        <v>341.06869799999998</v>
      </c>
      <c r="BV61" s="1">
        <v>2394.44821</v>
      </c>
      <c r="BW61" s="1">
        <v>330.88555200000002</v>
      </c>
      <c r="BX61" s="1">
        <v>7.2364850000000001</v>
      </c>
      <c r="BY61" s="1">
        <v>3066.4024599999998</v>
      </c>
      <c r="BZ61" s="1">
        <v>11.122764</v>
      </c>
      <c r="CA61" s="1">
        <v>78.086560000000006</v>
      </c>
      <c r="CB61" s="1">
        <v>10.790675999999999</v>
      </c>
      <c r="CC61" s="1">
        <v>87.858897999999996</v>
      </c>
      <c r="CD61" s="1">
        <v>12.141102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D337-67D4-419D-9022-6F4CD087FD3F}">
  <dimension ref="A4:AR69"/>
  <sheetViews>
    <sheetView topLeftCell="A81" zoomScale="70" zoomScaleNormal="70" workbookViewId="0">
      <selection activeCell="AO35" sqref="AO35"/>
    </sheetView>
  </sheetViews>
  <sheetFormatPr defaultRowHeight="17.399999999999999" x14ac:dyDescent="0.4"/>
  <sheetData>
    <row r="4" spans="7:31" x14ac:dyDescent="0.4">
      <c r="G4" s="30" t="s">
        <v>79</v>
      </c>
      <c r="H4" s="30"/>
      <c r="I4" s="30"/>
      <c r="R4" s="30" t="s">
        <v>80</v>
      </c>
      <c r="S4" s="30"/>
      <c r="AD4" s="30" t="s">
        <v>81</v>
      </c>
      <c r="AE4" s="30"/>
    </row>
    <row r="30" spans="1:16" x14ac:dyDescent="0.4">
      <c r="A30" s="30" t="s">
        <v>153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4" spans="1:44" ht="18" thickBot="1" x14ac:dyDescent="0.3">
      <c r="C34" s="31" t="s">
        <v>142</v>
      </c>
      <c r="D34" s="31"/>
      <c r="E34" s="31"/>
      <c r="F34" s="31"/>
      <c r="G34" s="31"/>
      <c r="H34" s="31"/>
      <c r="I34" s="3"/>
    </row>
    <row r="35" spans="1:44" ht="24.6" thickTop="1" thickBot="1" x14ac:dyDescent="0.3">
      <c r="C35" s="32"/>
      <c r="D35" s="5" t="s">
        <v>146</v>
      </c>
      <c r="E35" s="5" t="s">
        <v>144</v>
      </c>
      <c r="F35" s="5" t="s">
        <v>145</v>
      </c>
      <c r="G35" s="4" t="s">
        <v>143</v>
      </c>
      <c r="H35" s="22" t="s">
        <v>147</v>
      </c>
      <c r="I35" s="3"/>
      <c r="J35" s="26"/>
      <c r="K35" s="26"/>
    </row>
    <row r="36" spans="1:44" ht="18" thickTop="1" x14ac:dyDescent="0.25">
      <c r="C36" s="7" t="s">
        <v>130</v>
      </c>
      <c r="D36" s="10">
        <v>0.8495038073371457</v>
      </c>
      <c r="E36" s="9">
        <v>0.58015277452498548</v>
      </c>
      <c r="F36" s="9">
        <v>0.96176564323918801</v>
      </c>
      <c r="G36" s="8">
        <v>19</v>
      </c>
      <c r="H36" s="23">
        <v>0.11372402082768435</v>
      </c>
      <c r="I36" s="3"/>
      <c r="J36" s="27"/>
      <c r="K36" s="28"/>
    </row>
    <row r="37" spans="1:44" x14ac:dyDescent="0.25">
      <c r="C37" s="12" t="s">
        <v>132</v>
      </c>
      <c r="D37" s="15">
        <v>5.9175782418824673E-2</v>
      </c>
      <c r="E37" s="14">
        <v>2.3862795318424501E-2</v>
      </c>
      <c r="F37" s="14">
        <v>0.15075343209765651</v>
      </c>
      <c r="G37" s="13">
        <v>19</v>
      </c>
      <c r="H37" s="24">
        <v>4.017650416771866E-2</v>
      </c>
      <c r="I37" s="3"/>
      <c r="J37" s="27"/>
      <c r="K37" s="28"/>
    </row>
    <row r="38" spans="1:44" ht="25.2" x14ac:dyDescent="0.25">
      <c r="A38" s="21" t="s">
        <v>149</v>
      </c>
      <c r="C38" s="12" t="s">
        <v>134</v>
      </c>
      <c r="D38" s="15">
        <v>4.7705418721949715E-2</v>
      </c>
      <c r="E38" s="14">
        <v>8.2908256892445936E-3</v>
      </c>
      <c r="F38" s="14">
        <v>0.15409733379067886</v>
      </c>
      <c r="G38" s="13">
        <v>19</v>
      </c>
      <c r="H38" s="24">
        <v>4.2792193129150662E-2</v>
      </c>
      <c r="I38" s="3"/>
      <c r="J38" s="27"/>
      <c r="K38" s="28"/>
    </row>
    <row r="39" spans="1:44" ht="25.2" x14ac:dyDescent="0.25">
      <c r="A39" s="21"/>
      <c r="C39" s="12" t="s">
        <v>136</v>
      </c>
      <c r="D39" s="15">
        <v>1.9856524158574657E-2</v>
      </c>
      <c r="E39" s="14">
        <v>4.3173311147923551E-3</v>
      </c>
      <c r="F39" s="14">
        <v>6.9560724236494051E-2</v>
      </c>
      <c r="G39" s="13">
        <v>19</v>
      </c>
      <c r="H39" s="24">
        <v>2.0385614994012514E-2</v>
      </c>
      <c r="I39" s="3"/>
      <c r="J39" s="27"/>
      <c r="K39" s="28"/>
    </row>
    <row r="40" spans="1:44" ht="25.2" x14ac:dyDescent="0.25">
      <c r="A40" s="21"/>
      <c r="C40" s="12" t="s">
        <v>138</v>
      </c>
      <c r="D40" s="15">
        <v>2.5940281215581354E-2</v>
      </c>
      <c r="E40" s="14">
        <v>3.5194784782860348E-3</v>
      </c>
      <c r="F40" s="14">
        <v>7.6899112535033148E-2</v>
      </c>
      <c r="G40" s="13">
        <v>19</v>
      </c>
      <c r="H40" s="24">
        <v>2.5069106613029069E-2</v>
      </c>
      <c r="I40" s="3"/>
      <c r="J40" s="27"/>
      <c r="K40" s="28"/>
    </row>
    <row r="41" spans="1:44" ht="25.2" x14ac:dyDescent="0.25">
      <c r="A41" s="21"/>
      <c r="C41" s="12" t="s">
        <v>140</v>
      </c>
      <c r="D41" s="15">
        <v>1.6726443282127579E-2</v>
      </c>
      <c r="E41" s="14">
        <v>2.4883244946172049E-3</v>
      </c>
      <c r="F41" s="14">
        <v>4.6187621372235602E-2</v>
      </c>
      <c r="G41" s="13">
        <v>19</v>
      </c>
      <c r="H41" s="24">
        <v>1.5244491160139586E-2</v>
      </c>
      <c r="I41" s="3"/>
      <c r="J41" s="27"/>
      <c r="K41" s="28"/>
    </row>
    <row r="42" spans="1:44" ht="25.8" thickBot="1" x14ac:dyDescent="0.3">
      <c r="A42" s="21"/>
      <c r="C42" s="17" t="s">
        <v>148</v>
      </c>
      <c r="D42" s="18">
        <v>19</v>
      </c>
      <c r="E42" s="19"/>
      <c r="F42" s="19"/>
      <c r="G42" s="19"/>
      <c r="H42" s="25"/>
      <c r="I42" s="3"/>
    </row>
    <row r="43" spans="1:44" ht="25.8" thickTop="1" x14ac:dyDescent="0.4">
      <c r="A43" s="21"/>
      <c r="Z43" s="29" t="s">
        <v>154</v>
      </c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</row>
    <row r="44" spans="1:44" ht="25.2" x14ac:dyDescent="0.4">
      <c r="A44" s="21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</row>
    <row r="45" spans="1:44" ht="25.2" x14ac:dyDescent="0.4">
      <c r="A45" s="21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</row>
    <row r="46" spans="1:44" ht="25.2" x14ac:dyDescent="0.4">
      <c r="A46" s="21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</row>
    <row r="47" spans="1:44" ht="25.2" x14ac:dyDescent="0.4">
      <c r="A47" s="21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</row>
    <row r="48" spans="1:44" ht="25.2" x14ac:dyDescent="0.4">
      <c r="A48" s="21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</row>
    <row r="49" spans="1:44" ht="25.8" thickBot="1" x14ac:dyDescent="0.3">
      <c r="A49" s="21"/>
      <c r="C49" s="31" t="s">
        <v>142</v>
      </c>
      <c r="D49" s="31"/>
      <c r="E49" s="31"/>
      <c r="F49" s="31"/>
      <c r="G49" s="31"/>
      <c r="H49" s="31"/>
      <c r="I49" s="3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</row>
    <row r="50" spans="1:44" ht="26.4" thickTop="1" thickBot="1" x14ac:dyDescent="0.3">
      <c r="A50" s="21"/>
      <c r="C50" s="32"/>
      <c r="D50" s="5" t="s">
        <v>146</v>
      </c>
      <c r="E50" s="5" t="s">
        <v>144</v>
      </c>
      <c r="F50" s="5" t="s">
        <v>145</v>
      </c>
      <c r="G50" s="5" t="s">
        <v>152</v>
      </c>
      <c r="H50" s="6" t="s">
        <v>147</v>
      </c>
      <c r="I50" s="3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</row>
    <row r="51" spans="1:44" ht="26.4" thickTop="1" thickBot="1" x14ac:dyDescent="0.3">
      <c r="A51" s="21"/>
      <c r="C51" s="7" t="s">
        <v>130</v>
      </c>
      <c r="D51" s="10">
        <v>0.87126212599489317</v>
      </c>
      <c r="E51" s="9">
        <v>0.669350065878351</v>
      </c>
      <c r="F51" s="9">
        <v>0.97414231420351194</v>
      </c>
      <c r="G51" s="10">
        <v>20</v>
      </c>
      <c r="H51" s="11">
        <v>9.2447104176761899E-2</v>
      </c>
      <c r="I51" s="3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</row>
    <row r="52" spans="1:44" ht="26.4" thickTop="1" thickBot="1" x14ac:dyDescent="0.3">
      <c r="A52" s="21"/>
      <c r="C52" s="12" t="s">
        <v>132</v>
      </c>
      <c r="D52" s="15">
        <v>4.612225095031653E-2</v>
      </c>
      <c r="E52" s="14">
        <v>9.988817981175329E-3</v>
      </c>
      <c r="F52" s="14">
        <v>0.1120698596299784</v>
      </c>
      <c r="G52" s="10">
        <v>20</v>
      </c>
      <c r="H52" s="16">
        <v>2.6532446756613703E-2</v>
      </c>
      <c r="I52" s="3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</row>
    <row r="53" spans="1:44" ht="26.4" thickTop="1" thickBot="1" x14ac:dyDescent="0.3">
      <c r="A53" s="21" t="s">
        <v>150</v>
      </c>
      <c r="C53" s="12" t="s">
        <v>134</v>
      </c>
      <c r="D53" s="15">
        <v>4.0573467343359509E-2</v>
      </c>
      <c r="E53" s="14">
        <v>5.76003523884924E-3</v>
      </c>
      <c r="F53" s="14">
        <v>0.17322703621942451</v>
      </c>
      <c r="G53" s="10">
        <v>20</v>
      </c>
      <c r="H53" s="16">
        <v>3.8408329066248428E-2</v>
      </c>
      <c r="I53" s="3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</row>
    <row r="54" spans="1:44" ht="26.4" thickTop="1" thickBot="1" x14ac:dyDescent="0.3">
      <c r="A54" s="21"/>
      <c r="C54" s="12" t="s">
        <v>136</v>
      </c>
      <c r="D54" s="15">
        <v>1.5994744374800751E-2</v>
      </c>
      <c r="E54" s="14">
        <v>2.9378895153011697E-3</v>
      </c>
      <c r="F54" s="14">
        <v>5.7878081003022198E-2</v>
      </c>
      <c r="G54" s="10">
        <v>20</v>
      </c>
      <c r="H54" s="16">
        <v>1.4345193259663692E-2</v>
      </c>
      <c r="I54" s="3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</row>
    <row r="55" spans="1:44" ht="26.4" thickTop="1" thickBot="1" x14ac:dyDescent="0.3">
      <c r="A55" s="21"/>
      <c r="C55" s="12" t="s">
        <v>138</v>
      </c>
      <c r="D55" s="15">
        <v>2.2640953886999285E-2</v>
      </c>
      <c r="E55" s="14">
        <v>3.299307993088875E-3</v>
      </c>
      <c r="F55" s="14">
        <v>6.8686643992119406E-2</v>
      </c>
      <c r="G55" s="10">
        <v>20</v>
      </c>
      <c r="H55" s="16">
        <v>2.0440946943026846E-2</v>
      </c>
      <c r="I55" s="3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</row>
    <row r="56" spans="1:44" ht="25.8" thickTop="1" x14ac:dyDescent="0.25">
      <c r="A56" s="21"/>
      <c r="C56" s="12" t="s">
        <v>140</v>
      </c>
      <c r="D56" s="15">
        <v>1.9077327190846222E-2</v>
      </c>
      <c r="E56" s="14">
        <v>2.290958851677685E-3</v>
      </c>
      <c r="F56" s="14">
        <v>0.10980092497328145</v>
      </c>
      <c r="G56" s="10">
        <v>20</v>
      </c>
      <c r="H56" s="16">
        <v>2.4873843196721656E-2</v>
      </c>
      <c r="I56" s="3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</row>
    <row r="57" spans="1:44" ht="25.8" thickBot="1" x14ac:dyDescent="0.3">
      <c r="A57" s="21"/>
      <c r="C57" s="17"/>
      <c r="D57" s="18"/>
      <c r="E57" s="19"/>
      <c r="F57" s="19"/>
      <c r="G57" s="19"/>
      <c r="H57" s="20"/>
      <c r="I57" s="3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</row>
    <row r="58" spans="1:44" ht="25.8" thickTop="1" x14ac:dyDescent="0.4">
      <c r="A58" s="21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</row>
    <row r="59" spans="1:44" ht="25.2" x14ac:dyDescent="0.4">
      <c r="A59" s="21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</row>
    <row r="60" spans="1:44" ht="25.2" x14ac:dyDescent="0.4">
      <c r="A60" s="21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</row>
    <row r="61" spans="1:44" ht="25.2" x14ac:dyDescent="0.4">
      <c r="A61" s="21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</row>
    <row r="62" spans="1:44" ht="25.8" thickBot="1" x14ac:dyDescent="0.3">
      <c r="A62" s="21"/>
      <c r="C62" s="31" t="s">
        <v>142</v>
      </c>
      <c r="D62" s="31"/>
      <c r="E62" s="31"/>
      <c r="F62" s="31"/>
      <c r="G62" s="31"/>
      <c r="H62" s="31"/>
      <c r="I62" s="3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</row>
    <row r="63" spans="1:44" ht="26.4" thickTop="1" thickBot="1" x14ac:dyDescent="0.3">
      <c r="A63" s="21"/>
      <c r="C63" s="32"/>
      <c r="D63" s="5" t="s">
        <v>146</v>
      </c>
      <c r="E63" s="5" t="s">
        <v>144</v>
      </c>
      <c r="F63" s="5" t="s">
        <v>145</v>
      </c>
      <c r="G63" s="5" t="s">
        <v>152</v>
      </c>
      <c r="H63" s="6" t="s">
        <v>147</v>
      </c>
      <c r="I63" s="3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</row>
    <row r="64" spans="1:44" ht="25.8" thickTop="1" x14ac:dyDescent="0.25">
      <c r="A64" s="21"/>
      <c r="C64" s="7" t="s">
        <v>130</v>
      </c>
      <c r="D64" s="10">
        <v>0.88788108364823226</v>
      </c>
      <c r="E64" s="9">
        <v>0.6920387722635315</v>
      </c>
      <c r="F64" s="9">
        <v>0.95225415063957153</v>
      </c>
      <c r="G64" s="10">
        <v>18</v>
      </c>
      <c r="H64" s="11">
        <v>6.6173803294001854E-2</v>
      </c>
      <c r="I64" s="3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</row>
    <row r="65" spans="1:44" ht="25.2" x14ac:dyDescent="0.25">
      <c r="A65" s="21"/>
      <c r="C65" s="12" t="s">
        <v>132</v>
      </c>
      <c r="D65" s="15">
        <v>4.8171250159571868E-2</v>
      </c>
      <c r="E65" s="14">
        <v>2.0901597778557351E-2</v>
      </c>
      <c r="F65" s="14">
        <v>0.11332453903530065</v>
      </c>
      <c r="G65" s="15">
        <v>18</v>
      </c>
      <c r="H65" s="16">
        <v>2.9760796565257912E-2</v>
      </c>
      <c r="I65" s="3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</row>
    <row r="66" spans="1:44" ht="25.2" x14ac:dyDescent="0.25">
      <c r="A66" s="21"/>
      <c r="C66" s="12" t="s">
        <v>134</v>
      </c>
      <c r="D66" s="15">
        <v>4.7255647845553833E-2</v>
      </c>
      <c r="E66" s="14">
        <v>1.05789917660409E-2</v>
      </c>
      <c r="F66" s="14">
        <v>0.18005092248564752</v>
      </c>
      <c r="G66" s="15">
        <v>18</v>
      </c>
      <c r="H66" s="16">
        <v>4.1878784636901652E-2</v>
      </c>
      <c r="I66" s="3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</row>
    <row r="67" spans="1:44" ht="25.2" x14ac:dyDescent="0.25">
      <c r="A67" s="21" t="s">
        <v>151</v>
      </c>
      <c r="C67" s="12" t="s">
        <v>136</v>
      </c>
      <c r="D67" s="15">
        <v>1.037782369026518E-2</v>
      </c>
      <c r="E67" s="14">
        <v>4.59321855930514E-3</v>
      </c>
      <c r="F67" s="14">
        <v>2.4012523345404352E-2</v>
      </c>
      <c r="G67" s="15">
        <v>18</v>
      </c>
      <c r="H67" s="16">
        <v>6.0283390925396701E-3</v>
      </c>
      <c r="I67" s="3"/>
    </row>
    <row r="68" spans="1:44" x14ac:dyDescent="0.25">
      <c r="C68" s="12" t="s">
        <v>138</v>
      </c>
      <c r="D68" s="15">
        <v>1.239272191872476E-2</v>
      </c>
      <c r="E68" s="14">
        <v>4.01860507202614E-3</v>
      </c>
      <c r="F68" s="14">
        <v>3.3286039692651953E-2</v>
      </c>
      <c r="G68" s="15">
        <v>18</v>
      </c>
      <c r="H68" s="16">
        <v>7.9534052233079314E-3</v>
      </c>
      <c r="I68" s="3"/>
    </row>
    <row r="69" spans="1:44" x14ac:dyDescent="0.25">
      <c r="C69" s="12" t="s">
        <v>140</v>
      </c>
      <c r="D69" s="15">
        <v>8.1739920275219879E-3</v>
      </c>
      <c r="E69" s="14">
        <v>2.83715285370392E-3</v>
      </c>
      <c r="F69" s="14">
        <v>2.4413174074894302E-2</v>
      </c>
      <c r="G69" s="15">
        <v>18</v>
      </c>
      <c r="H69" s="16">
        <v>5.3521493193687663E-3</v>
      </c>
      <c r="I69" s="3"/>
    </row>
  </sheetData>
  <mergeCells count="11">
    <mergeCell ref="C35"/>
    <mergeCell ref="A30:P30"/>
    <mergeCell ref="G4:I4"/>
    <mergeCell ref="R4:S4"/>
    <mergeCell ref="AD4:AE4"/>
    <mergeCell ref="C34:H34"/>
    <mergeCell ref="Z43:AR66"/>
    <mergeCell ref="C49:H49"/>
    <mergeCell ref="C50"/>
    <mergeCell ref="C62:H62"/>
    <mergeCell ref="C6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Ingyu Rho</cp:lastModifiedBy>
  <dcterms:created xsi:type="dcterms:W3CDTF">2023-01-24T13:56:03Z</dcterms:created>
  <dcterms:modified xsi:type="dcterms:W3CDTF">2025-10-30T06:27:28Z</dcterms:modified>
</cp:coreProperties>
</file>